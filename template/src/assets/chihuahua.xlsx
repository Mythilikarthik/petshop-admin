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thili\Desktop\pet-admin\template\src\assets\"/>
    </mc:Choice>
  </mc:AlternateContent>
  <xr:revisionPtr revIDLastSave="0" documentId="13_ncr:1_{536370B5-73F7-4B14-8900-452F12EC12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2" i="1" l="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<sst xmlns="http://schemas.openxmlformats.org/spreadsheetml/2006/main" count="470" uniqueCount="409">
  <si>
    <t>Areas</t>
  </si>
  <si>
    <t>puppies</t>
  </si>
  <si>
    <t>title</t>
  </si>
  <si>
    <t>meta desc</t>
  </si>
  <si>
    <t>h1</t>
  </si>
  <si>
    <t>intro</t>
  </si>
  <si>
    <t>breeders list</t>
  </si>
  <si>
    <t>Pricing &amp; Commercial Data</t>
  </si>
  <si>
    <t>Health, Lineage &amp; Legal Compliance</t>
  </si>
  <si>
    <t>Care guide &amp; Maintenance Costs</t>
  </si>
  <si>
    <t>FAQ</t>
  </si>
  <si>
    <t>Shivaji Nagar, Bangalore</t>
  </si>
  <si>
    <t>chihuahua puppies for sale</t>
  </si>
  <si>
    <t>Chihuahua Puppies for Sale in Shivaji Nagar, Bangalore</t>
  </si>
  <si>
    <t>Looking for Chihuahua puppies for sale in Shivaji Nagar, Bangalore? Browse verified local breeders and find your healthy purebred pup today!</t>
  </si>
  <si>
    <t>Chihuahua Puppies for Sale in Shivaji Nagar</t>
  </si>
  <si>
    <t>Bringing a spirited Apple Head Chihuahua into your home in central Bengaluru has never been easier. Our curated network connects you directly with verified breeders near Commercial Street and Russell Market, offering healthy, KCI-registered Chihuahua puppies with up-to-date vaccination records and vet checks. Whether you reside close to Infantry Road or commute via the Shivaji Nagar Bus Station, finding a purebred companion tailored to compact apartment living is convenient and straightforward. Browse ethical listings nearby, review lineage details, and reserve your small, affectionate pup today from trusted local handlers right here in Shivaji Nagar.</t>
  </si>
  <si>
    <t>&lt;h2&gt;Verified Pet Breeders and Kennels Directory&lt;/h2&gt;&lt;table&gt;&lt;tr&gt;&lt;th&gt;Business Name &amp; Specialty/Location Context&lt;/th&gt;&lt;th&gt;Complete Verified NAP (Name, Address, Phone, Website)&lt;/th&gt;&lt;/tr&gt;&lt;tr&gt;&lt;td&gt;Paws Of Joy (Serving Shivaji Nagar &amp; Central Bangalore)&lt;/td&gt;&lt;td&gt;Paws Of Joy, Hennur Main Road, Bangalore – 560043, Karnataka | Phone: +91-82967-60720 | Website: pawsofjoy.in&lt;/td&gt;&lt;/tr&gt;&lt;tr&gt;&lt;td&gt;Mr n Mrs Pet (Home Delivery &amp; Registered Breeders near Shivaji Nagar)&lt;/td&gt;&lt;td&gt;Mr n Mrs Pet, Online network with local home-delivery and registered breeders across Bangalore | Phone: +91-8306-944-422&lt;/td&gt;&lt;/tr&gt;&lt;tr&gt;&lt;td&gt;Asia Pets (Regional Network serving Shivaji Nagar,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</si>
  <si>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Shivaji Nagar's commercial corridors near Commercial Street and Infantry Road, local market costs for chihuahua puppies typically range from ₹20,000 to ₹50,000. Key quote variables such as KCI certification, coat variety, and breeder service tiers influence final rate quotes. High demand across central Bengaluru drives regional cost drivers, with pet-quality estimate ranges starting around ₹18,000 and premium show-line bloodlines reaching ₹65,000. Reserve your verified puppy today for competitive local pricing.</t>
  </si>
  <si>
    <t>&lt;h2&gt;Chihuahua Puppies Health, Lineage &amp; Legal Compliance in Shivaji Nagar, Bangalore&lt;/h2&gt;When acquiring Chihuahua puppies in central Bengaluru's Shivaji Nagar precinct, verifying authentic Kennel Club of India (KCI) pedigree credentials alongside comprehensive veterinary health certifications is critical. Pet parents living near Commercial Street and Infantry Road should ensure their toy breed puppies receive early screenings for breed-specific issues like patellar luxation, tracheal collapse, and hypoglycemia, along with timely core vaccinations. In addition to verified bloodlines, local dog owners must comply with Bruhat Bengaluru Mahanagara Palike (BBMP) pet licensing bylaws enacted under the Karnataka Municipal Corporation Act, which mandate annual registration, valid anti-rabies vaccination records, and microchipping. Adhering to standards set by the &lt;a href='https://dahd.nic.in/' target='_blank'&gt;Department of Animal Husbandry and Dairying&lt;/a&gt; and the &lt;a href='https://awbi.gov.in/' target='_blank'&gt;Animal Welfare Board of India&lt;/a&gt; guarantees that your new companion is both legally protected and ethically raised.</t>
  </si>
  <si>
    <t>Indiranagar, Bangalore</t>
  </si>
  <si>
    <t>Chihuahua Puppies for Sale in Indiranagar, Bangalore</t>
  </si>
  <si>
    <t>Find healthy Chihuahua puppies for sale in Indiranagar, Bangalore. Connect with verified local breeders and find your purebred pup today!</t>
  </si>
  <si>
    <t>Chihuahua Puppies for Sale in Indiranagar</t>
  </si>
  <si>
    <t>Finding healthy, KCI-registered Chihuahua puppies right in Indiranagar is now smooth and transparent. Our network connects local dog lovers with verified ethical breeders situated near 100 Feet Road and 12th Main. Perfect for trendy apartment lifestyle along HAL 2nd Stage, these compact, affectionate toy companions undergo rigorous veterinary health checks and vaccination protocols. Whether you stroll through Defence Colony or near the Indiranagar Metro Station, bringing home a purebred Apple Head or Teacup Chihuahua puppy is effortless. Review active litters, check verified lineage records, and secure your new small-breed pet today from dependable local handlers right here in Indiranagar.</t>
  </si>
  <si>
    <t>&lt;h2&gt;Verified Pet Breeders and Kennels Directory&lt;/h2&gt;&lt;table&gt;&lt;tr&gt;&lt;th&gt;Business Name &amp; Specialty/Location Context&lt;/th&gt;&lt;th&gt;Complete Verified NAP (Name, Address, Phone, Website)&lt;/th&gt;&lt;/tr&gt;&lt;tr&gt;&lt;td&gt;Paws Of Joy (Serving Indiranagar &amp; Central/East Bangalore)&lt;/td&gt;&lt;td&gt;Paws Of Joy, Hennur Main Road, Bangalore – 560043, Karnataka | Phone: +91-82967-60720 | Website: pawsofjoy.in&lt;/td&gt;&lt;/tr&gt;&lt;tr&gt;&lt;td&gt;Mr n Mrs Pet (Home Delivery &amp; Registered Breeders near Indiranagar)&lt;/td&gt;&lt;td&gt;Mr n Mrs Pet, Online network with local home-delivery and registered breeders across Bangalore | Phone: +91-8306-944-422&lt;/td&gt;&lt;/tr&gt;&lt;tr&gt;&lt;td&gt;Asia Pets (Regional Network serving Indiranagar,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</si>
  <si>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Indiranagar's upscale commercial corridors along 100 Feet Road and 12th Main, local market costs for chihuahua puppies typically range between ₹20,000 and ₹50,000. High demand across trendy East Bengaluru apartment zones drives key quote variables, including KCI registration, coat length, and breeder service tiers. Estimate ranges start near ₹18,000 for pet-quality puppies, while show-line bloodlines reach upwards of ₹65,000. Reserve your verified puppy today for competitive rates.</t>
  </si>
  <si>
    <t>&lt;h2&gt;Chihuahua Puppies Health, Lineage &amp; Legal Compliance in Indiranagar, Bangalore&lt;/h2&gt;When acquiring Chihuahua puppies along Indiranagar's 100 Feet Road or 12th Main, validating official Kennel Club of India (KCI) lineage papers alongside comprehensive veterinary health certifications is essential for prospective owners. Residents near Defence Colony and HAL 2nd Stage should verify that toy breed puppies receive early screening for genetic health concerns like patellar luxation, dental crowding, and hypoglycemia, alongside mandatory core vaccinations. To ensure full legal compliance within East Bengaluru, pet parents must adhere to Bruhat Bengaluru Mahanagara Palike (BBMP) municipal pet licensing regulations, which mandate mandatory microchipping, annual registration, and updated anti-rabies records. Aligning with standards established by the &lt;a href='https://dahd.nic.in/' target='_blank'&gt;Department of Animal Husbandry and Dairying&lt;/a&gt; guarantees your small-breed companion remains ethically bred and fully protected under Indian animal welfare laws.</t>
  </si>
  <si>
    <t>Koramangala, Bangalore</t>
  </si>
  <si>
    <t>Chihuahua Puppies for Sale in Koramangala, Bangalore</t>
  </si>
  <si>
    <t>Looking for Chihuahua puppies for sale in Koramangala, Bangalore? Browse verified local breeders and find your healthy purebred pup today!</t>
  </si>
  <si>
    <t>Chihuahua Puppies for Sale in Koramangala</t>
  </si>
  <si>
    <t>Finding an adorable, healthy Chihuahua puppy in the energetic neighborhood of Koramangala has never been more seamless. Our platform connects discerning pet parents with ethically raised, KCI-certified toy breeds located right near Jyoti Nivas College Road and 80 Feet Road. Perfect for high-rise apartment living around Sony World Junction or the vibrant Forum Mall precinct, these compact, coat-verified Chihuahua pups receive rigorous veterinary screenings and essential early vaccinations before joining your household. Connect directly with verified local kennels and experienced breeders in Koramangala today to discover your ideal pocket-sized companion.</t>
  </si>
  <si>
    <t>&lt;h2&gt;Verified Pet Breeders and Kennels Directory&lt;/h2&gt;&lt;table&gt;&lt;tr&gt;&lt;th&gt;Business Name &amp; Specialty/Location Context&lt;/th&gt;&lt;th&gt;Complete Verified NAP (Name, Address, Phone, Website)&lt;/th&gt;&lt;/tr&gt;&lt;tr&gt;&lt;td&gt;Mr n Mrs Pet (Home Delivery &amp; Registered Breeders near Koramangala)&lt;/td&gt;&lt;td&gt;Mr n Mrs Pet, Online network with local home-delivery and registered breeders across Bangalore | Phone: +91-8306-944-422&lt;/td&gt;&lt;/tr&gt;&lt;tr&gt;&lt;td&gt;Asia Pets (Regional Network serving Koramangala,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www.bharatibiz.com&lt;/td&gt;&lt;/tr&gt;&lt;tr&gt;&lt;td&gt;Paws Of Joy (Serving Koramangala &amp; South East Bangalore)&lt;/td&gt;&lt;td&gt;Paws Of Joy, Hennur Main Road, Bangalore – 560043, Karnataka | Phone: +91-82967-60720 | Website: pawsofjoy.in&lt;/td&gt;&lt;/tr&gt;&lt;/table&gt;</t>
  </si>
  <si>
    <t>In Koramangala's vibrant commercial avenues around 80 Feet Road and Jyoti Nivas College Road, local market costs for Chihuahua puppies generally span ₹22,000 to ₹55,000. Key quote variables including KCI registration status, coat type, and breeder service tiers shape overall rate quotes. Strong demand across high-rise residential zones drives local price factors, with pet-quality estimate ranges starting around ₹20,000 and elite show-line bloodlines reaching ₹70,000 near Sony World Junction. Reserve your purebred pup today for optimal local pricing.</t>
  </si>
  <si>
    <t>&lt;h2&gt;Chihuahua Puppies Health, Lineage &amp; Legal Compliance in Koramangala, Bangalore&lt;/h2&gt;When acquiring Chihuahua puppies in the vibrant Koramangala locality of Bangalore, ensuring authentic Kennel Club of India (KCI) pedigree registration and complete health screenings is essential. Prospective dog owners around Jyoti Nivas College Road, 80 Feet Road, and Sony World Junction should verify that toy breed litters have received clinical checks for genetic predispositions such as patellar luxation and hypoglycemia alongside scheduled core immunizations. Under Bruhat Bengaluru Mahanagara Palike (BBMP) municipal mandates established via the Karnataka Municipal Corporations Act, apartment residents must register their canine companions, maintain updated rabies vaccination records, and adhere to housing society guidelines supported by the &lt;a href='https://awbi.gov.in/' target='_blank'&gt;Animal Welfare Board of India&lt;/a&gt; to guarantee ethical care and full legal compliance.</t>
  </si>
  <si>
    <t>HSR Layout, Bangalore</t>
  </si>
  <si>
    <t>Chihuahua Puppies for Sale in HSR Layout, Bangalore</t>
  </si>
  <si>
    <t>Looking for Chihuahua puppies for sale in HSR Layout, Bangalore? Browse verified local breeders and find your healthy purebred pup today!</t>
  </si>
  <si>
    <t>Chihuahua Puppies for Sale in HSR Layout</t>
  </si>
  <si>
    <t>Connecting with ethical breeders offering healthy, KCI-registered Chihuahua puppies in HSR Layout has never been more seamless. Whether you reside near the bustling 27th Main commercial hub, commute via the Outer Ring Road, or take relaxing evening walks around Agara Lake, finding a vibrant toy-breed companion suitable for modern apartment living is well within reach. Our verified directory connects prospective pet parents directly with responsible local handlers providing vaccinated, vet-checked Apple Head and Teacup Chihuahuas across Sector 1 through Sector 7. Explore transparent lineage records, review health certifications, and secure your ideal small pup today from trusted breeders right here in HSR Layout.</t>
  </si>
  <si>
    <t>&lt;h2&gt;Verified Pet Breeders and Kennels Directory&lt;/h2&gt;&lt;table&gt;&lt;tr&gt;&lt;th&gt;Business Name &amp; Specialty/Location Context&lt;/th&gt;&lt;th&gt;Complete Verified NAP (Name, Address, Phone, Website)&lt;/th&gt;&lt;/tr&gt;&lt;tr&gt;&lt;td&gt;Mr n Mrs Pet (Home Delivery &amp; Registered Breeders near HSR Layout)&lt;/td&gt;&lt;td&gt;Mr n Mrs Pet, Online network with local home-delivery and registered breeders across Bangalore | Phone: +91-8306-944-422&lt;/td&gt;&lt;/tr&gt;&lt;tr&gt;&lt;td&gt;Asia Pets (Regional Network serving HSR Layout,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www.bharatibiz.com&lt;/td&gt;&lt;/tr&gt;&lt;tr&gt;&lt;td&gt;Petsfeet (Partner Network serving HSR Layout)&lt;/td&gt;&lt;td&gt;Petsfeet, Local store coordination and partner network, Bangalore | Phone: Available via local store coordination&lt;/td&gt;&lt;/tr&gt;&lt;/table&gt;</t>
  </si>
  <si>
    <t>In HSR Layout's prime residential hubs along 27th Main and Outer Ring Road, local market costs for Chihuahua puppies typically average ₹20,000 to ₹50,000. Key quote variables like KCI pedigree registration, coat type, and breeder service tiers dictate final commercial rates. Strong tech-sector pet demand drives regional estimate ranges, with pet-quality rates beginning near ₹18,000 and champion lineage pricing reaching up to ₹65,000. Reserve your verified puppy today for transparent local pricing.</t>
  </si>
  <si>
    <t>&lt;h2&gt;Chihuahua Puppies Health, Lineage &amp; Legal Compliance in HSR Layout, Bangalore&lt;/h2&gt;When purchasing Chihuahua puppies in HSR Layout, Bangalore, establishing certified Kennel Club of India (KCI) lineage and obtaining detailed veterinary health records is essential. Residents around 27th Main Road, Agara Lake, and Outer Ring Road should prioritize health screenings for common toy breed vulnerabilities, including patellar luxation, dental issues, and hypoglycemia, alongside up-to-date core vaccination schedules. In compliance with local Bruhat Bengaluru Mahanagara Palike (BBMP) pet licensing regulations, pet owners across Sectors 1 to 7 must secure mandatory annual pet licenses, maintain rabies immunization compliance, and register their microchipped dogs. Aligning with welfare directives established by the &lt;a href='https://awbi.gov.in/' target='_blank'&gt;Animal Welfare Board of India&lt;/a&gt; and guidelines from the &lt;a href='https://dahd.nic.in/' target='_blank'&gt;Department of Animal Husbandry and Dairying&lt;/a&gt; ensures your Chihuahua is ethically bred and fully compliant with Karnataka pet ownership mandates.</t>
  </si>
  <si>
    <t>Jayanagar, Bangalore</t>
  </si>
  <si>
    <t>Chihuahua Puppies for Sale in Jayanagar, Bangalore</t>
  </si>
  <si>
    <t>Looking for Chihuahua puppies for sale in Jayanagar, Bangalore? Browse verified local breeders and find your healthy purebred pup today!</t>
  </si>
  <si>
    <t>Finding healthy, KCI-registered Chihuahua puppies in the tree-lined avenues of Jayanagar is now seamless and trustworthy. Our curated local network links you directly with ethical breeders around 4th Block Shopping Complex and South End Circle, offering fully vaccinated, vet-checked Toy and Teacup Chihuahuas perfect for apartment living. Whether you stroll near Madhavan Park or live along Kanakapura Road, bring home a spirited, purebred companion without the stress of unreliable pet sources. Explore active listings, verify health certifications, and connect with reputable handlers across Jayanagar today to reserve your new furry family member.</t>
  </si>
  <si>
    <t>&lt;h2&gt;Verified Pet Breeders and Kennels Directory&lt;/h2&gt;&lt;table&gt;&lt;tr&gt;&lt;th&gt;Business Name &amp; Specialty/Location Context&lt;/th&gt;&lt;th&gt;Complete Verified NAP (Name, Address, Phone, Website)&lt;/th&gt;&lt;/tr&gt;&lt;tr&gt;&lt;td&gt;Mahogany Paws (Serving Jayanagar &amp; South Bangalore)&lt;/td&gt;&lt;td&gt;Mahogany Paws, No. 9/7, Mathrushree Nilaya, 9th Cross, 3rd Main, J.P. Nagar 1st Phase, Bangalore – 560078 | Phone: +91-91523-23163&lt;/td&gt;&lt;/tr&gt;&lt;tr&gt;&lt;td&gt;Cadaboms Kennel (Verified Breeder Network near Jayanagar)&lt;/td&gt;&lt;td&gt;Cadaboms Kennel, 20, Sapthagiri, 1st 'B' Cross, 33rd Main, Banagiri Nagar, B.S.K. 3rd Stage, Bangalore – 560085 | Phone: +91-99011-11115 | Website: www.bharatibiz.com&lt;/td&gt;&lt;/tr&gt;&lt;tr&gt;&lt;td&gt;Mr n Mrs Pet (Home Delivery &amp; Registered Breeders near Jayanagar)&lt;/td&gt;&lt;td&gt;Mr n Mrs Pet, Online network with local home-delivery and registered breeders across Bangalore | Phone: +91-8306-944-422&lt;/td&gt;&lt;/tr&gt;&lt;tr&gt;&lt;td&gt;Asia Pets (Regional Network serving Jayanagar, Bangalore)&lt;/td&gt;&lt;td&gt;Asia Pets, Regional network serving Bangalore and across Karnataka | Phone: +91-95559-44924&lt;/td&gt;&lt;/tr&gt;&lt;/table&gt;</t>
  </si>
  <si>
    <t>In Jayanagar’s prime residential avenues near the 4th Block Shopping Complex and Kanakapura Road corridor, local market costs for chihuahua puppies generally span from ₹22,000 to ₹55,000. Key quote variables including Kennel Club of India pedigree papers, coat types, and specialized breeder service tiers impact final rate quotes across South Bangalore. Regional cost drivers reflect high municipal demand, with pet-quality estimate ranges starting around ₹18,000 and top-tier show-line bloodlines exceeding ₹65,000. Reserve your purebred puppy today.</t>
  </si>
  <si>
    <t>&lt;h2&gt;Chihuahua Puppies Health, Lineage &amp; Legal Compliance in Jayanagar, Bangalore&lt;/h2&gt;When acquiring Chihuahua puppies in the tree-lined neighborhood of Jayanagar, verifying authentic Kennel Club of India (KCI) pedigree certificates alongside comprehensive veterinary health checks is essential. Pet parents near 4th Block Shopping Complex, South End Circle, and Kanakapura Road should confirm their toy breed companions are screened for common genetic conditions such as patellar luxation, hypoglycemia, and open fontanelles, alongside up-to-date core vaccination records. Under local municipal regulations, dog owners in South Bengaluru must adhere to Bruhat Bengaluru Mahanagara Palike (BBMP) pet licensing mandates, which require mandatory annual registration, valid anti-rabies immunizations, and microchipping. Following animal welfare directives established by the &lt;a href='https://dahd.nic.in/' target='_blank'&gt;Department of Animal Husbandry and Dairying&lt;/a&gt; and guidelines from the &lt;a href='https://awbi.gov.in/' target='_blank'&gt;Animal Welfare Board of India&lt;/a&gt; ensures your puppy is responsibly bred, legally compliant, and ethically sourced.</t>
  </si>
  <si>
    <t>JP Nagar, Bangalore</t>
  </si>
  <si>
    <t>Chihuahua Puppies for Sale in JP Nagar, Bangalore</t>
  </si>
  <si>
    <t>Looking for Chihuahua puppies for sale in JP Nagar, Bangalore? Browse verified local breeders and find your healthy purebred pup today!</t>
  </si>
  <si>
    <t>Adopting a compact, energetic Chihuahua puppy in JP Nagar has never been simpler. Our network connects prospective owners across 1st to 9th Phase directly with ethical breeders and verified kennels near the JP Nagar Green Line Metro Station and 100 Feet Ring Road. Whether you stroll through the quiet avenues near Puttenahalli Lake or reside along the bustling Outer Ring Road corridor, these tiny, KCI-registered companions are ideally suited for apartment living in South Bangalore. Explore complete lineage details, review vaccination records, and reserve your healthy, affectionate toy breed companion from dependable local pet experts in JP Nagar today.</t>
  </si>
  <si>
    <t>&lt;h2&gt;Verified Pet Breeders and Kennels Directory&lt;/h2&gt;&lt;table&gt;&lt;tr&gt;&lt;th&gt;Business Name &amp; Specialty/Location Context&lt;/th&gt;&lt;th&gt;Complete Verified NAP (Name, Address, Phone, Website)&lt;/th&gt;&lt;/tr&gt;&lt;tr&gt;&lt;td&gt;Mahogany Paws (Local Breeder in JP Nagar 1st Phase)&lt;/td&gt;&lt;td&gt;Mahogany Paws, No. 9/7, Mathrushree Nilaya, 9th Cross, 3rd Main, J.P. Nagar 1st Phase, Bangalore – 560078 | Phone: +91-91523-23163&lt;/td&gt;&lt;/tr&gt;&lt;tr&gt;&lt;td&gt;Cadaboms Kennel (Verified Breeder Network near JP Nagar)&lt;/td&gt;&lt;td&gt;Cadaboms Kennel, 20, Sapthagiri, 1st 'B' Cross, 33rd Main, Banagiri Nagar, B.S.K. 3rd Stage, Bangalore – 560085 | Phone: +91-99011-11115 | Website: www.bharatibiz.com&lt;/td&gt;&lt;/tr&gt;&lt;tr&gt;&lt;td&gt;Mr n Mrs Pet (Home Delivery &amp; Registered Breeders near JP Nagar)&lt;/td&gt;&lt;td&gt;Mr n Mrs Pet, Online network with local home-delivery and registered breeders across Bangalore | Phone: +91-8306-944-422&lt;/td&gt;&lt;/tr&gt;&lt;tr&gt;&lt;td&gt;Asia Pets (Regional Network serving JP Nagar, Bangalore)&lt;/td&gt;&lt;td&gt;Asia Pets, Regional network serving Bangalore and across Karnataka | Phone: +91-95559-44924&lt;/td&gt;&lt;/tr&gt;&lt;/table&gt;</t>
  </si>
  <si>
    <t>In JP Nagar’s prime residential sectors along 100 Feet Ring Road and near the Green Line Metro, local market costs for Chihuahua puppies typically span ₹20,000 to ₹50,000. Primary quote variables include KCI pedigree verification, coat type, and breeder service tiers. High demand across South Bangalore drives local commercial tariff factors, with basic pet-quality estimate ranges starting around ₹18,000 and show-line champions reaching ₹65,000. Reserve your verified pup today for transparent pricing.</t>
  </si>
  <si>
    <t>&lt;h2&gt;Chihuahua Puppies Health, Lineage &amp; Legal Compliance in JP Nagar, Bangalore&lt;/h2&gt;When purchasing Chihuahua puppies across South Bengaluru's JP Nagar neighborhood, confirming authentic Kennel Club of India (KCI) pedigree certification and comprehensive veterinary clearance is essential for establishing purebred lineage. Prospective owners living along 100 Feet Ring Road or near Puttenahalli Lake should prioritize screening toy breed puppies for common health risks such as patellar luxation, hypoglycemia, and dental crowding, alongside a complete immunization schedule. Local dog owners must strictly observe Bruhat Bengaluru Mahanagara Palike (BBMP) pet regulations, which mandate mandatory pet licensing, up-to-date anti-rabies vaccinations, and microchip identification for apartment-dwelling dogs. Following standards recommended by the &lt;a href='https://dahd.nic.in/' target='_blank'&gt;Department of Animal Husbandry and Dairying&lt;/a&gt; and the &lt;a href='https://awbi.gov.in/' target='_blank'&gt;Animal Welfare Board of India&lt;/a&gt; ensures your puppy is ethically raised, health-tested, and fully compliant with municipal pet laws.</t>
  </si>
  <si>
    <t>Malleshwaram, Bangalore</t>
  </si>
  <si>
    <t>Chihuahua Puppies for Sale in Malleshwaram, Bangalore</t>
  </si>
  <si>
    <t>Find Chihuahua puppies for sale in Malleshwaram, Bangalore. Connect with verified local breeders and bring home your healthy purebred puppy today!</t>
  </si>
  <si>
    <t>Chihuahua Puppies for Sale in Malleshwaram</t>
  </si>
  <si>
    <t>Adopting a charming Chihuahua puppy in historic Malleshwaram brings big personality to classic north Bengaluru living. Our curated network connects you with vetted ethical breeders around Sampige Road, Margosa Road, and Mantri Square, providing health-guaranteed, KCI-registered toy puppies complete with vaccination history and veterinary certificates. Whether you enjoy morning walks near Sankey Tank or reside close to 8th Cross Market, finding a well-socialized, compact companion ideal for home living is effortless. Connect directly with dependable local handlers across this cultural neighborhood today to secure your purebred Chihuahua puppy with confidence.</t>
  </si>
  <si>
    <t>&lt;h2&gt;Verified Pet Breeders and Kennels Directory&lt;/h2&gt;&lt;table&gt;&lt;tr&gt;&lt;th&gt;Business Name &amp; Specialty/Location Context&lt;/th&gt;&lt;th&gt;Complete Verified NAP (Name, Address, Phone, Website)&lt;/th&gt;&lt;/tr&gt;&lt;tr&gt;&lt;td&gt;IPS Pets (Serving Malleshwaram &amp; Rajajinagar)&lt;/td&gt;&lt;td&gt;IPS Pets, Near Mahalakshmi Metro Station, Rajajinagar, Mahalakshmipuram Layout, Bengaluru, Karnataka – 560010 | Phone: +91-90369-41311 | Website: ipspets.in&lt;/td&gt;&lt;/tr&gt;&lt;tr&gt;&lt;td&gt;Mr n Mrs Pet (Home Delivery &amp; Registered Breeders near Malleshwaram)&lt;/td&gt;&lt;td&gt;Mr n Mrs Pet, Online network with local home-delivery and registered breeders across Bangalore | Phone: +91-8306-944-422&lt;/td&gt;&lt;/tr&gt;&lt;tr&gt;&lt;td&gt;Asia Pets (Regional Network serving Malleshwaram,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</si>
  <si>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Across Malleshwaram’s prime commercial hubs along Sampige Road and Margosa Road, local market costs for Chihuahua puppies generally span ₹22,000 to ₹55,000. Key quote variables including KCI registration, coat variation, and premium service tiers directly alter final rate quotes. Elevated demand near Mantri Square drives regional cost drivers, pushing basic pet-quality estimate ranges from ₹20,000 up to ₹68,000 for elite show lines. Reserve your certified toy puppy near 8th Cross today for exceptional local value.</t>
  </si>
  <si>
    <t>&lt;h2&gt;Chihuahua Puppies Health, Lineage &amp; Legal Compliance in Malleshwaram, Bangalore&lt;/h2&gt;When purchasing purebred Chihuahua puppies in the heritage neighborhood of Malleshwaram, confirming complete Kennel Club of India (KCI) ancestral registration and veterinary health certificates is essential. Residents near Sampige Road, Margosa Road, and Mantri Square should verify that toy puppies receive comprehensive health checks for genetic conditions such as patellar luxation, hypoglycemia, and cardiac abnormalities prior to adoption. To remain fully compliant with North Bengaluru municipal regulations, dog owners around 8th Cross Market and Sankey Tank must obtain official pet licenses under the Bruhat Bengaluru Mahanagara Palike (BBMP) guidelines, ensuring mandatory rabies immunization and microchip installation. Following welfare standards promoted by the &lt;a href='https://awbi.gov.in/' target='_blank'&gt;Animal Welfare Board of India&lt;/a&gt; and the &lt;a href='https://dahd.nic.in/' target='_blank'&gt;Department of Animal Husbandry and Dairying&lt;/a&gt; ensures your Chihuahua companion is ethically bred and legally registered.</t>
  </si>
  <si>
    <t>Whitefield, Bangalore</t>
  </si>
  <si>
    <t>Chihuahua Puppies for Sale in Whitefield, Bangalore</t>
  </si>
  <si>
    <t>Looking for Chihuahua puppies for sale in Whitefield, Bangalore? Connect with verified local breeders and find your healthy purebred pup today!</t>
  </si>
  <si>
    <t>Chihuahua Puppies for Sale in Whitefield</t>
  </si>
  <si>
    <t>Finding health-certified Chihuahua puppies across East Bengaluru’s tech corridor has never been more straightforward. Our verified network connects residents around ITPL, Hope Farm Junction, and Borewell Road directly with ethical breeders offering vaccinated, KCI-registered Apple Head and Teacup Chihuahuas. Perfectly suited for apartment living along the Purple Line, these compact companions undergo thorough veterinary health checks and lineage verification before joining your home. Explore available litters near ITPL Main Road today, connect with responsible handlers, and secure a vibrant toy pup tailored to your modern lifestyle right here in Whitefield.</t>
  </si>
  <si>
    <t>&lt;h2&gt;Verified Pet Breeders and Kennels Directory&lt;/h2&gt;&lt;table&gt;&lt;tr&gt;&lt;th&gt;Business Name &amp; Specialty/Location Context&lt;/th&gt;&lt;th&gt;Complete Verified NAP (Name, Address, Phone, Website)&lt;/th&gt;&lt;/tr&gt;&lt;tr&gt;&lt;td&gt;Paws Of Joy (Serving Whitefield &amp; East Bangalore)&lt;/td&gt;&lt;td&gt;Paws Of Joy, Hennur Main Road, Bangalore – 560043, Karnataka | Phone: +91-82967-60720 | Website: pawsofjoy.in&lt;/td&gt;&lt;/tr&gt;&lt;tr&gt;&lt;td&gt;Mr n Mrs Pet (Home Delivery &amp; Registered Breeders near Whitefield)&lt;/td&gt;&lt;td&gt;Mr n Mrs Pet, Online network with local home-delivery and registered breeders across Bangalore | Phone: +91-8306-944-422&lt;/td&gt;&lt;/tr&gt;&lt;tr&gt;&lt;td&gt;Asia Pets (Regional Network serving Whitefield,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</si>
  <si>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Whitefield's tech corridor near ITPL Main Road and Hope Farm Junction, local market costs for Chihuahua puppies range from ₹22,000 to ₹55,000. Key quote variables like KCI certification, coat variety, and breeder service tiers impact final rates. Tech-sector demand across East Bengaluru serves as a major cost driver, pushing estimate ranges for pet-quality pups to ₹20,000 while show-line bloodlines reach ₹70,000. Reserve your pup today for competitive pricing.</t>
  </si>
  <si>
    <t>&lt;h2&gt;Chihuahua Puppies Health, Lineage &amp; Legal Compliance in Whitefield, Bangalore&lt;/h2&gt;When acquiring Chihuahua puppies in East Bengaluru’s tech hub of Whitefield, ensuring robust genetic health and authentic Kennel Club of India (KCI) bloodline documentation is essential for prospective pet parents. Residents living near ITPL, Hope Farm Junction, and Borewell Road should prioritize comprehensive veterinary evaluations, including early screenings for breed-specific conditions such as patellar luxation, hypoglycemia, and open fontanelles, alongside a complete schedule of core vaccinations. To maintain full legal compliance in local residential complexes, dog owners must adhere to Bruhat Bengaluru Mahanagara Palike (BBMP) municipal pet licensing regulations under the Karnataka Municipal Corporation Act, requiring valid anti-rabies vaccination certifications, annual registration, and responsible animal management. Following statutory animal welfare standards outlined by the &lt;a href='https://dahd.nic.in/' target='_blank'&gt;Department of Animal Husbandry and Dairying&lt;/a&gt; and guidelines established by the &lt;a href='https://awbi.gov.in/' target='_blank'&gt;Animal Welfare Board of India&lt;/a&gt; ensures that your new toy companion is ethically sourced and legally recognized.</t>
  </si>
  <si>
    <t>Marathahalli, Bangalore</t>
  </si>
  <si>
    <t>Chihuahua Puppies for Sale in Marathahalli, Bangalore</t>
  </si>
  <si>
    <t>Find healthy Chihuahua puppies for sale in Marathahalli, Bangalore! Connect with verified local breeders &amp; reserve your purebred pup today.</t>
  </si>
  <si>
    <t>Chihuahua Puppies for Sale in Marathahalli</t>
  </si>
  <si>
    <t>Securing a healthy, KCI-registered Chihuahua puppy right in the heart of East Bengaluru's primary tech belt has never been simpler. Our verified directory connects tech professionals and residents across the Outer Ring Road corridor directly with ethical breeders near Marathahalli Bridge and Kalamandir. Whether you reside near Prestige Tech Park or commute along Varthur Road, bringing home a vaccinated, vet-checked teacup or Apple Head Chihuahua tailored for apartment living is completely hassle-free. Explore authenticated local listings, verify bloodlines, and connect with reputable handlers across Marathahalli today to reserve your new compact, loyal companion.</t>
  </si>
  <si>
    <t>&lt;h2&gt;Verified Pet Breeders and Kennels Directory&lt;/h2&gt;&lt;table&gt;&lt;tr&gt;&lt;th&gt;Business Name &amp; Specialty/Location Context&lt;/th&gt;&lt;th&gt;Complete Verified NAP (Name, Address, Phone, Website)&lt;/th&gt;&lt;/tr&gt;&lt;tr&gt;&lt;td&gt;Mr n Mrs Pet (Home Delivery &amp; Registered Breeders near Marathahalli)&lt;/td&gt;&lt;td&gt;Mr n Mrs Pet, Online network with local home-delivery and registered breeders across Bangalore | Phone: +91-8306-944-422&lt;/td&gt;&lt;/tr&gt;&lt;tr&gt;&lt;td&gt;Paws Of Joy (Serving Marathahalli &amp; East Bangalore)&lt;/td&gt;&lt;td&gt;Paws Of Joy, Hennur Main Road, Bangalore – 560043, Karnataka | Phone: +91-82967-60720 | Website: pawsofjoy.in&lt;/td&gt;&lt;/tr&gt;&lt;tr&gt;&lt;td&gt;Asia Pets (Regional Network serving Marathahalli,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</si>
  <si>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Marathahalli’s tech hub along the Outer Ring Road and Varthur Road, local market costs for chihuahua puppies average between ₹22,000 and ₹55,000. Key quote variables including KCI paper authentication, coat length, and premium breeder service tiers shape overall estimate ranges. Robust demand near Prestige Tech Park and Marathahalli Bridge serves as a primary regional cost driver, pushing top-tier show-line lineage quotes to ₹70,000. Reserve your purebred pup today for transparent local pricing.</t>
  </si>
  <si>
    <t>&lt;h2&gt;Chihuahua Puppies Health, Lineage &amp; Legal Compliance in Marathahalli, Bangalore&lt;/h2&gt;When bringing home Chihuahua puppies in East Bengaluru's tech corridor of Marathahalli, confirming authentic Kennel Club of India (KCI) ancestral paperwork and complete veterinary health certificates is vital. Dog lovers residing near Marathahalli Bridge, Outer Ring Road, and Prestige Tech Park should ensure their toy breed companions undergo health checks for common conditions like hypoglycemia, patellar luxation, and dental issues, along with up-to-date core vaccinations. To maintain legal compliance, pet owners must follow Bruhat Bengaluru Mahanagara Palike (BBMP) pet licensing guidelines framed under the Karnataka Municipal Corporations Act, requiring mandatory microchipping and annual anti-rabies immunizations. Following guidelines established by the &lt;a href='https://dahd.nic.in/' target='_blank'&gt;Department of Animal Husbandry and Dairying&lt;/a&gt; and the &lt;a href='https://awbi.gov.in/' target='_blank'&gt;Animal Welfare Board of India&lt;/a&gt; guarantees your purebred companion is legally registered and ethically sourced.</t>
  </si>
  <si>
    <t>Banashankari, Bangalore</t>
  </si>
  <si>
    <t>Chihuahua Puppies for Sale in Banashankari, Bangalore</t>
  </si>
  <si>
    <t>Looking for Chihuahua puppies for sale in Banashankari, Bangalore? Connect with verified local breeders and find your healthy purebred pup today!</t>
  </si>
  <si>
    <t>Chihuahua Puppies for Sale in Banashankari</t>
  </si>
  <si>
    <t>Bringing a vibrant Apple Head Chihuahua into your household in South Bengaluru is now smooth and reliable. Our verified directory links you directly with ethical breeders around Banashankari 3rd Stage, near Kamakya Theatre and the BDA Complex. Whether you live along Outer Ring Road or commute via the Banashankari Metro Station and TTMC interchange, finding a healthy, KCI-certifiable Chihuahua puppy suited for apartment living is completely hassle-free. Explore local listings, inspect health records, and connect with trusted handlers across Banashankari to claim your ideal mini companion today.</t>
  </si>
  <si>
    <t>&lt;h2&gt;Verified Pet Breeders and Kennels Directory&lt;/h2&gt;&lt;table&gt;&lt;tr&gt;&lt;th&gt;Business Name &amp; Specialty/Location Context&lt;/th&gt;&lt;th&gt;Complete Verified NAP (Name, Address, Phone, Website)&lt;/th&gt;&lt;/tr&gt;&lt;tr&gt;&lt;td&gt;Cadaboms Kennel (Located in Banashankari, Bangalore)&lt;/td&gt;&lt;td&gt;Cadaboms Kennel, 20, Sapthagiri, 1st 'B' Cross, 33rd Main, Banagiri Nagar, B.S.K. 3rd Stage, Bangalore – 560085 | Phone: +91-99011-11115 | Website: www.bharatibiz.com&lt;/td&gt;&lt;/tr&gt;&lt;tr&gt;&lt;td&gt;Mahogany Paws (Serving Banashankari &amp; South Bangalore)&lt;/td&gt;&lt;td&gt;Mahogany Paws, No. 9/7, Mathrushree Nilaya, 9th Cross, 3rd Main, J.P. Nagar 1st Phase, Bangalore – 560078 | Phone: +91-91523-23163&lt;/td&gt;&lt;/tr&gt;&lt;tr&gt;&lt;td&gt;Mr n Mrs Pet (Home Delivery &amp; Registered Breeders near Banashankari)&lt;/td&gt;&lt;td&gt;Mr n Mrs Pet, Online network with local home-delivery and registered breeders across Bangalore | Phone: +91-8306-944-422&lt;/td&gt;&lt;/tr&gt;&lt;tr&gt;&lt;td&gt;Asia Pets (Regional Network serving Banashankari, Bangalore)&lt;/td&gt;&lt;td&gt;Asia Pets, Regional network serving Bangalore and across Karnataka | Phone: +91-95559-44924&lt;/td&gt;&lt;/tr&gt;&lt;/table&gt;</t>
  </si>
  <si>
    <t>In Banashankari’s thriving residential zones around 3rd Stage and the Kamakya Theatre junction, local market costs for Chihuahua puppies generally span ₹22,000 to ₹55,000. Primary quote variables include Kennel Club of India registration status, coat variety, and breeder service tiers. High demand across South Bengaluru drives regional cost drivers, with pet-quality estimate ranges starting near ₹20,000 and champion lineage show-line pups reaching ₹68,000. Reserve your verified puppy today for competitive local pricing.</t>
  </si>
  <si>
    <t>&lt;h2&gt;Chihuahua Puppies Health, Lineage &amp; Legal Compliance in Banashankari, Bangalore&lt;/h2&gt;When bringing home Chihuahua puppies in South Bengaluru's Banashankari neighborhood, verifying microchipped Kennel Club of India (KCI) pedigree documentation alongside complete veterinary health records is essential. Prospective dog owners residing near Kamakya Theatre, the BDA Complex, or Banashankari 3rd Stage should ensure their toy-breed pups receive routine clinical screenings for congenital conditions such as patellar luxation, hypoglycemia, and open fontanelles, alongside complete core vaccination coverage. Local pet parents must also fulfill mandatory Bruhat Bengaluru Mahanagara Palike (BBMP) pet licensing requirements by securing valid anti-rabies vaccination certificates and municipal registration under Karnataka civic bylaws. Alignment with national standards promulgated by the &lt;a href='https://awbi.gov.in/' target='_blank'&gt;Animal Welfare Board of India&lt;/a&gt; and guidelines from the &lt;a href='https://dahd.nic.in/' target='_blank'&gt;Department of Animal Husbandry and Dairying&lt;/a&gt; guarantees that your new companion is legally registered, ethically bred, and fully protected.</t>
  </si>
  <si>
    <t>BTM Layout, Bangalore</t>
  </si>
  <si>
    <t>Chihuahua Puppies for Sale in BTM Layout, Bangalore</t>
  </si>
  <si>
    <t>Looking for Chihuahua puppies for sale in BTM Layout, Bangalore? Browse verified local breeders and find your healthy purebred pup today!</t>
  </si>
  <si>
    <t>Chihuahua Puppies for Sale in BTM Layout</t>
  </si>
  <si>
    <t>Finding healthy, KCI-registered Chihuahua puppies in BTM Layout is now seamless for local pet lovers. Our verified network connects you with ethical breeders around 2nd Stage, Outer Ring Road, and near Vega City Mall, offering vaccinated, vet-checked Apple Head and Teacup Chihuahua pups perfectly suited for apartment living. Whether you stroll near BTM Lake, reside along Tavarekere Main Road, or commute past the Central Silk Board junction, acquiring a playful toy breed companion with full lineage documentation is simple. Connect with trusted handlers near Udupi Garden Circle today to reserve your affectionate purebred Chihuahua puppy.</t>
  </si>
  <si>
    <t>&lt;h2&gt;Verified Pet Breeders and Kennels Directory&lt;/h2&gt;&lt;table&gt;&lt;tr&gt;&lt;th&gt;Business Name &amp; Specialty/Location Context&lt;/th&gt;&lt;th&gt;Complete Verified NAP (Name, Address, Phone, Website)&lt;/th&gt;&lt;/tr&gt;&lt;tr&gt;&lt;td&gt;Mahogany Paws (Serving BTM Layout &amp; South Bangalore)&lt;/td&gt;&lt;td&gt;Mahogany Paws, No. 9/7, Mathrushree Nilaya, 9th Cross, 3rd Main, J.P. Nagar 1st Phase, Bangalore – 560078 | Phone: +91-91523-23163&lt;/td&gt;&lt;/tr&gt;&lt;tr&gt;&lt;td&gt;Cadaboms Kennel (Verified Breeder Network near BTM Layout)&lt;/td&gt;&lt;td&gt;Cadaboms Kennel, 20, Sapthagiri, 1st 'B' Cross, 33rd Main, Banagiri Nagar, B.S.K. 3rd Stage, Bangalore – 560085 | Phone: +91-99011-11115 | Website: www.bharatibiz.com&lt;/td&gt;&lt;/tr&gt;&lt;tr&gt;&lt;td&gt;Mr n Mrs Pet (Home Delivery &amp; Registered Breeders near BTM Layout)&lt;/td&gt;&lt;td&gt;Mr n Mrs Pet, Online network with local home-delivery and registered breeders across Bangalore | Phone: +91-8306-944-422&lt;/td&gt;&lt;/tr&gt;&lt;tr&gt;&lt;td&gt;Asia Pets (Regional Network serving BTM Layout, Bangalore)&lt;/td&gt;&lt;td&gt;Asia Pets, Regional network serving Bangalore and across Karnataka | Phone: +91-95559-44924&lt;/td&gt;&lt;/tr&gt;&lt;/table&gt;</t>
  </si>
  <si>
    <t>In BTM Layout’s active commercial zones around 2nd Stage, Tavarekere Main Road, and Vega City Mall, local market costs for Chihuahua puppies typically span ₹20,000 to ₹50,000. Key quote variables including KCI registration, coat variation, and specialized breeder service tiers impact final rate quotes. Strong South Bengaluru demand acts as a key regional cost driver, with pet-quality estimate ranges starting around ₹18,000 and top-tier bloodlines reaching ₹65,000. Reserve your ideal puppy today for optimal rates.</t>
  </si>
  <si>
    <t>&lt;h2&gt;Chihuahua Puppies Health, Lineage &amp; Legal Compliance in BTM Layout, Bangalore&lt;/h2&gt;Acquiring a Chihuahua puppy in BTM Layout requires careful validation of official Kennel Club of India (KCI) ancestral records and up-to-date veterinary health certificates. Residents around 2nd Stage, Outer Ring Road, and Vega City Mall should ensure their toy breed puppies receive comprehensive health evaluations for common conditions such as patellar luxation, hypoglycemia, and dental crowding, alongside core vaccinations. To maintain full legal compliance in South Bengaluru, pet owners must adhere to Bruhat Bengaluru Mahanagara Palike (BBMP) municipal pet licensing regulations, which mandate mandatory microchipping, annual registration, and current anti-rabies immunization. Following established guidelines from official regulatory authorities like the &lt;a href='https://awbi.gov.in/' target='_blank'&gt;Animal Welfare Board of India&lt;/a&gt; and the &lt;a href='https://dahd.nic.in/' target='_blank'&gt;Department of Animal Husbandry and Dairying&lt;/a&gt; guarantees that your new canine companion is ethically sourced and legally registered.</t>
  </si>
  <si>
    <t>RT Nagar, Bangalore</t>
  </si>
  <si>
    <t>Chihuahua Puppies for Sale in RT Nagar, Bangalore</t>
  </si>
  <si>
    <t>Looking for Chihuahua puppies for sale in RT Nagar, Bangalore? Browse verified local breeders and find your healthy purebred pup today!</t>
  </si>
  <si>
    <t>Chihuahua Puppies for Sale in RT Nagar</t>
  </si>
  <si>
    <t>Finding a healthy, purebred Chihuahua puppy near RT Nagar Main Road or Dinnur market is now simple and secure. Our curated network connects prospective pet owners in North Bangalore directly with ethical breeders offering KCI-registered, vet-checked Apple Head and Teacup Chihuahua puppies. Whether you reside close to Bellary Road or commute toward Hebbal, owning a compact, toy-breed companion tailored for apartment living is completely hassle-free. Access transparent pricing, examine verified lineage details, and reserve your playful, vaccinated puppy today from dependable local handlers right here in RT Nagar.</t>
  </si>
  <si>
    <t>&lt;h2&gt;Verified Pet Breeders and Kennels Directory&lt;/h2&gt;&lt;table&gt;&lt;tr&gt;&lt;th&gt;Business Name &amp; Specialty/Location Context&lt;/th&gt;&lt;th&gt;Complete Verified NAP (Name, Address, Phone, Website)&lt;/th&gt;&lt;/tr&gt;&lt;tr&gt;&lt;td&gt;Paws Of Joy (Serving RT Nagar &amp; North Bangalore)&lt;/td&gt;&lt;td&gt;Paws Of Joy, Hennur Main Road, Bangalore – 560043, Karnataka | Phone: +91-82967-60720 | Website: pawsofjoy.in&lt;/td&gt;&lt;/tr&gt;&lt;tr&gt;&lt;td&gt;IPS Pets (Serving North &amp; West Bangalore)&lt;/td&gt;&lt;td&gt;IPS Pets, Near Mahalakshmi Metro Station, Rajajinagar, Mahalakshmipuram Layout, Bengaluru, Karnataka – 560010 | Phone: +91-90369-41311 | Website: ipspets.in&lt;/td&gt;&lt;/tr&gt;&lt;tr&gt;&lt;td&gt;Mr n Mrs Pet (Home Delivery &amp; Registered Breeders near RT Nagar)&lt;/td&gt;&lt;td&gt;Mr n Mrs Pet, Online network with local home-delivery and registered breeders across Bangalore | Phone: +91-8306-944-422&lt;/td&gt;&lt;/tr&gt;&lt;tr&gt;&lt;td&gt;Asia Pets (Regional Network serving RT Nagar, Bangalore)&lt;/td&gt;&lt;td&gt;Asia Pets, Regional network serving Bangalore and across Karnataka | Phone: +91-95559-44924&lt;/td&gt;&lt;/tr&gt;&lt;/table&gt;</t>
  </si>
  <si>
    <t>In RT Nagar’s busy commercial hubs along RT Nagar Main Road and Dinnur Market, local market costs for Chihuahua puppies typically range from ₹22,000 to ₹52,000. Key quote variables like KCI pedigree verification, coat type, and breeder service tiers directly shape final commercial rates. Proximity to the Bellary Road and Hebbal transit belts drives high demand, pushing pet-quality estimate ranges from ₹19,000 while elite show-line bloodlines command upwards of ₹68,000. Reserve your purebred puppy today.</t>
  </si>
  <si>
    <t>&lt;h2&gt;Chihuahua Puppies Health, Lineage &amp; Legal Compliance in RT Nagar, Bangalore&lt;/h2&gt;When bringing home Chihuahua puppies in RT Nagar, North Bangalore, prioritizing official Kennel Club of India (KCI) purebred bloodline registration and thorough veterinary clearance is paramount. Families residing near RT Nagar Main Road, Dinnur Market, and the Bellary Road belt should verify essential health certifications, including screening for breed-specific conditions like open fontanelles, patellar luxation, and hypoglycemia, alongside up-to-date vaccination passports. Pet owners across this locality must adhere to Bruhat Bengaluru Mahanagara Palike (BBMP) pet licensing guidelines under the Karnataka Municipal Act, which mandate mandatory microchipping, yearly rabies vaccinations, and municipal dog registration. Following ethical guidelines mandated by the &lt;a href='https://dahd.nic.in/' target='_blank'&gt;Department of Animal Husbandry and Dairying&lt;/a&gt; ensures your toy companion is legally recognized, well-bred, and fully protected.</t>
  </si>
  <si>
    <t>Kammanahalli, Bangalore</t>
  </si>
  <si>
    <t>Chihuahua Puppies for Sale in Kammanahalli, Bangalore</t>
  </si>
  <si>
    <t>Looking for Chihuahua puppies for sale in Kammanahalli, Bangalore? Browse verified local breeders and find your healthy purebred pup today!</t>
  </si>
  <si>
    <t>Chihuahua Puppies for Sale in Kammanahalli</t>
  </si>
  <si>
    <t>Adding a lively Chihuahua puppy to your home in northeastern Bengaluru’s vibrant "Kammanhattan" district is now remarkably seamless. Our verified network connects prospective pet owners with ethical breeders located around Kammanahalli Main Road and Kullappa Circle, offering healthy, KCI-certified toy breeds including Apple Head and Deer Head Chihuahuas. Ideal for compact apartment living near HRBR Layout and Lingarajapuram, each purebred pup comes fully vaccinated with complete health clearance records. Explore trusted local listings, compare lineage credentials, and adopt your ideal miniature companion today from dependable handlers right here in Kammanahalli.</t>
  </si>
  <si>
    <t>&lt;h2&gt;Verified Pet Breeders and Kennels Directory&lt;/h2&gt;&lt;table&gt;&lt;tr&gt;&lt;th&gt;Business Name &amp; Specialty/Location Context&lt;/th&gt;&lt;th&gt;Complete Verified NAP (Name, Address, Phone, Website)&lt;/th&gt;&lt;/tr&gt;&lt;tr&gt;&lt;td&gt;Paws Of Joy (Serving Kammanahalli &amp; Hennur Corridor)&lt;/td&gt;&lt;td&gt;Paws Of Joy, Hennur Main Road, Bangalore – 560043, Karnataka | Phone: +91-82967-60720 | Website: pawsofjoy.in&lt;/td&gt;&lt;/tr&gt;&lt;tr&gt;&lt;td&gt;Mr n Mrs Pet (Home Delivery &amp; Registered Breeders near Kammanahalli)&lt;/td&gt;&lt;td&gt;Mr n Mrs Pet, Online network with local home-delivery and registered breeders across Bangalore | Phone: +91-8306-944-422&lt;/td&gt;&lt;/tr&gt;&lt;tr&gt;&lt;td&gt;Asia Pets (Regional Network serving Kammanahalli,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</si>
  <si>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Kammanahalli's commercial corridors around Kammanahalli Main Road and HRBR Layout, local market costs for Chihuahua puppies typically range from ₹20,000 to ₹55,000. Key quote variables including KCI registration, coat variation, and breeder service tiers significantly affect final rate quotes. Strong demand across this vibrant northeastern Bengaluru hub drives regional cost drivers, with baseline estimate ranges starting near ₹18,000 for pet-quality pups and premium show-line bloodlines exceeding ₹60,000. Reserve your verified puppy today.</t>
  </si>
  <si>
    <t>&lt;h2&gt;Chihuahua Puppies Health, Lineage &amp; Legal Compliance in Kammanahalli, Bangalore&lt;/h2&gt;When acquiring Chihuahua puppies in northeastern Bengaluru's Kammanahalli enclave, verifying certified Kennel Club of India (KCI) pedigree registration alongside complete veterinary clearance is paramount. Families residing near Kammanahalli Main Road, HRBR Layout, and Kullappa Circle should ensure their toy breed litters undergo mandatory screening for breed-specific genetic conditions, including patellar luxation, hypoglycemia, and open fontanelles, alongside timely core immunization records. In compliance with local Bruhat Bengaluru Mahanagara Palike (BBMP) pet licensing regulations under the Karnataka Municipal Corporation Act, dog owners must secure annual municipal dog licenses, maintain up-to-date anti-rabies vaccination records, and install mandatory microchipping. Following welfare frameworks supported by the &lt;a href='https://awbi.gov.in/' target='_blank'&gt;Animal Welfare Board of India&lt;/a&gt; and guidelines from the &lt;a href='https://dahd.nic.in/' target='_blank'&gt;Department of Animal Husbandry and Dairying&lt;/a&gt; ensures that your new toy companion is ethically sourced and fully compliant with local urban pet ownership laws.</t>
  </si>
  <si>
    <t>Kalyan Nagar, Bangalore</t>
  </si>
  <si>
    <t>Chihuahua Puppies for Sale in Kalyan Nagar, Bangalore</t>
  </si>
  <si>
    <t>Looking for Chihuahua puppies for sale in Kalyan Nagar, Bangalore? Browse verified local breeders and find your healthy purebred pup today!</t>
  </si>
  <si>
    <t>Navigating your search for healthy, KCI-registered Chihuahua puppies in Kalyan Nagar is now completely effortless. Our trusted local network connects prospective pet owners with verified, ethical breeders near HRBR Layout, Hennur Main Road, and Kammanahalli Main Road. Whether you reside in a modern apartment near Banaswadi railway station or spend weekends exploring local cafes around 80 Feet Road, finding a spirited Apple Head or Teacup Chihuahua companion is right around the corner. Every toy-breed puppy undergoes complete veterinary health checks, vaccinations, and lineage authentication before joining your household. Explore active listings, inspect health records, and reserve your affectionate miniature puppy today from reliable handlers across Kalyan Nagar.</t>
  </si>
  <si>
    <t>&lt;h2&gt;Verified Pet Breeders and Kennels Directory&lt;/h2&gt;&lt;table&gt;&lt;tr&gt;&lt;th&gt;Business Name &amp; Specialty/Location Context&lt;/th&gt;&lt;th&gt;Complete Verified NAP (Name, Address, Phone, Website)&lt;/th&gt;&lt;/tr&gt;&lt;tr&gt;&lt;td&gt;Paws Of Joy (Serving Kalyan Nagar &amp; Hennur Corridor)&lt;/td&gt;&lt;td&gt;Paws Of Joy, Hennur Main Road, Bangalore – 560043, Karnataka | Phone: +91-82967-60720 | Website: pawsofjoy.in&lt;/td&gt;&lt;/tr&gt;&lt;tr&gt;&lt;td&gt;Mr n Mrs Pet (Home Delivery &amp; Registered Breeders near Kalyan Nagar)&lt;/td&gt;&lt;td&gt;Mr n Mrs Pet, Online network with local home-delivery and registered breeders across Bangalore | Phone: +91-8306-944-422&lt;/td&gt;&lt;/tr&gt;&lt;tr&gt;&lt;td&gt;Asia Pets (Regional Network serving Kalyan Nagar, Bangalore)&lt;/td&gt;&lt;td&gt;Asia Pets, Regional network serving Bangalore and across Karnataka | Phone: +91-95559-44924&lt;/td&gt;&lt;/tr&gt;&lt;tr&gt;&lt;td&gt;Cadaboms Kennel (Verified Breeder Network, Bangalore)&lt;/td&gt;&lt;td&gt;Cadaboms Kennel, 20, Sapthagiri, 1st 'B' Cross, 33rd Main, Banagiri Nagar, B.S.K. 3rd Stage, Bangalore – 560085 | Phone: +91-99011-11115 | Website: www.bharatibiz.com&lt;/td&gt;&lt;/tr&gt;&lt;/table&gt;</t>
  </si>
  <si>
    <t>In Kalyan Nagar's commercial corridors along Hennur Main Road and 80 Feet Road, local market costs for Chihuahua puppies typically range from ₹22,000 to ₹55,000. Key quote variables including KCI paper authentication, coat variety, and breeder service tiers shape overall rate quotes. High demand across HRBR Layout residential zones acts as a primary commercial tariff factor, with estimate ranges starting near ₹19,000 for pet-quality pups and reaching ₹68,000 for champion show lines. Reserve your purebred puppy today.</t>
  </si>
  <si>
    <t>&lt;h2&gt;Chihuahua Puppies Health, Lineage &amp; Legal Compliance in Kalyan Nagar, Bangalore&lt;/h2&gt;Securing a healthy Chihuahua puppy in Kalyan Nagar requires careful verification of official Kennel Club of India (KCI) ancestral paperwork alongside complete veterinary health clearances. Prospective dog parents living near HRBR Layout, Hennur Main Road, and 80 Feet Road should confirm that toy breed litters undergo early clinical screenings for common genetic concerns like patellar luxation, dental crowding, and hypoglycemia, alongside up-to-date core immunization schedules. Pet owners in East Bengaluru must adhere to municipal pet licensing guidelines enforced by the Bruhat Bengaluru Mahanagara Palike (BBMP), which require mandatory rabies vaccinations and microchipping. Following guidelines established by the &lt;a href='https://dahd.nic.in/' target='_blank'&gt;Department of Animal Husbandry and Dairying&lt;/a&gt; and the &lt;a href='https://awbi.gov.in/' target='_blank'&gt;Animal Welfare Board of India&lt;/a&gt; ensures your companion is lawfully protected and ethically sourced.</t>
  </si>
  <si>
    <t>Yelahanka, Bangalore</t>
  </si>
  <si>
    <t>Chihuahua Puppies for Sale in Yelahanka, Bangalore</t>
  </si>
  <si>
    <t>Looking for Chihuahua puppies for sale in Yelahanka, Bangalore? Connect with verified local breeders and find your healthy purebred pup today!</t>
  </si>
  <si>
    <t>Chihuahua Puppies for Sale in Yelahanka</t>
  </si>
  <si>
    <t>Discovering purebred Chihuahua puppies in Yelahanka has never been more straightforward. Our network connects prospective pet owners across Yelahanka New Town, Old Town, and Kogilu with vetted, ethical breeders. Whether you commute along the Airport Road corridor (NH 44), live near Yelahanka Lake, or spend weekends around the Bellary Road commercial hubs, finding a healthy, KCI-registered Apple Head or Teacup Chihuahua fits right into your lifestyle. Every toy pup undergoes complete veterinary health checkups and age-appropriate vaccinations. Compare active litters, review verified bloodline records, and reserve your small companion today from trusted local handlers right here in Yelahanka.</t>
  </si>
  <si>
    <t>&lt;h2&gt;Verified Pet Breeders and Kennels Directory&lt;/h2&gt;&lt;table&gt;&lt;tr&gt;&lt;th&gt;Business Name &amp; Specialty/Location Context&lt;/th&gt;&lt;th&gt;Complete Verified NAP (Name, Address, Phone, Website)&lt;/th&gt;&lt;/tr&gt;&lt;tr&gt;&lt;td&gt;Paws Of Joy (Serving Yelahanka &amp; North Bangalore)&lt;/td&gt;&lt;td&gt;Paws Of Joy, Hennur Main Road, Bangalore – 560043, Karnataka | Phone: +91-82967-60720 | Website: pawsofjoy.in&lt;/td&gt;&lt;/tr&gt;&lt;tr&gt;&lt;td&gt;IPS Pets (Serving Yelahanka &amp; North Bangalore)&lt;/td&gt;&lt;td&gt;IPS Pets, Near Mahalakshmi Metro Station, Rajajinagar, Mahalakshmipuram Layout, Bengaluru, Karnataka – 560010 | Phone: +91-90369-41311 | Website: ipspets.in&lt;/td&gt;&lt;/tr&gt;&lt;tr&gt;&lt;td&gt;Mr n Mrs Pet (Home Delivery &amp; Registered Breeders near Yelahanka)&lt;/td&gt;&lt;td&gt;Mr n Mrs Pet, Online network with local home-delivery and registered breeders across Bangalore | Phone: +91-8306-944-422&lt;/td&gt;&lt;/tr&gt;&lt;tr&gt;&lt;td&gt;Asia Pets (Regional Network serving Yelahanka, Bangalore)&lt;/td&gt;&lt;td&gt;Asia Pets, Regional network serving Bangalore and across Karnataka | Phone: +91-95559-44924&lt;/td&gt;&lt;/tr&gt;&lt;/table&gt;</t>
  </si>
  <si>
    <t>In Yelahanka’s bustling residential and commercial corridors around Yelahanka New Town, Old Town, and Kogilu, local market costs for Chihuahua puppies typically span ₹20,000 to ₹52,000. Key quote variables such as Kennel Club of India pedigree papers, coat variety, and breeder service tiers directly shape local commercial tariff factors. High suburban demand along the Airport Road (NH 44) belt drives regional estimate ranges, starting around ₹18,000 for pet-quality pups and reaching ₹65,000 for show lines. Reserve your puppy today.</t>
  </si>
  <si>
    <t>&lt;h2&gt;Chihuahua Puppies Health, Lineage &amp; Legal Compliance in Yelahanka, Bangalore&lt;/h2&gt;Acquiring purebred Chihuahua puppies in Yelahanka requires strict oversight regarding genetic health screenings, certified Kennel Club of India (KCI) ancestral records, and municipal adherence. Families residing across Yelahanka New Town, Old Town, and Kogilu should ensure toy breed litters undergo veterinary evaluations for breed-specific vulnerabilities such as patellar luxation, hypoglycemia, and dental crowding prior to adoption. In compliance with Bruhat Bengaluru Mahanagara Palike (BBMP) pet licensing guidelines under the Karnataka Municipal Corporation Act, dog owners along the NH 44 Airport Road belt must secure mandatory annual registrations, mandatory anti-rabies vaccination records, and valid health certificates. Adhering to standards supported by the &lt;a href='https://dahd.nic.in/' target='_blank'&gt;Department of Animal Husbandry and Dairying&lt;/a&gt; and the &lt;a href='https://awbi.gov.in/' target='_blank'&gt;Animal Welfare Board of India&lt;/a&gt; ensures your toy companion is legally registered, ethically sourced, and protected within northern Bengaluru.</t>
  </si>
  <si>
    <t>trichy, Tamilnadu</t>
  </si>
  <si>
    <t>Chihuahua Puppies for Sale in Trichy, Tamil Nadu</t>
  </si>
  <si>
    <t>Looking for Chihuahua puppies for sale in Trichy, Tamil Nadu? Connect with verified local breeders and find your healthy purebred pup today!</t>
  </si>
  <si>
    <t>Chihuahua Puppies for Sale in Trichy</t>
  </si>
  <si>
    <t>Bringing a healthy, KCI-registered Chihuahua puppy into your Trichy home is now effortless. Our platform connects prospective pet parents directly with verified breeders across Thillai Nagar, KK Nagar, and Woraiyur. Ideally suited for compact living near Central Bus Stand or residential avenues along Pudukottai Road, these spirited Apple Head and Teacup companions undergo thorough veterinary health checks and vaccination protocols. Examine complete lineage records, compare authentic listings, and reserve your playful toy-breed companion today from trusted local handlers right here in Tiruchirappalli.</t>
  </si>
  <si>
    <t>&lt;h2&gt;Top Breeders and Pet Shops in Trichy, Tamil Nadu for Chihuahua Puppies&lt;/h2&gt;
&lt;p&gt;If you are looking to acquire chihuahua puppies for sale in Trichy, Tamil Nadu, connecting with verified local pet shops and care hubs ensures your new companion is healthy and ethically sourced. Below is a directory of reputable pet centers and clinics across Tiruchirappalli offering pet care, guidance, and supplies.&lt;/p&gt;
&lt;table&gt;
&lt;tr&gt;
&lt;th&gt;Business Name&lt;/th&gt;
&lt;th&gt;Complete Address&lt;/th&gt;
&lt;th&gt;Contact Information&lt;/th&gt;
&lt;/tr&gt;
&lt;tr&gt;
&lt;td&gt;Thillai Pets &amp; Pet Clinic&lt;/td&gt;
&lt;td&gt;Annamalai Nagar, Thillai Nagar, Trichy - 620018 (Opp. Vasan Eye Care Hospital)&lt;/td&gt;
&lt;td&gt;Contact locally via Thillai Nagar branch&lt;/td&gt;
&lt;/tr&gt;
&lt;tr&gt;
&lt;td&gt;Pet O Pet&lt;/td&gt;
&lt;td&gt;8th Cross, Thillai Nagar, Trichy - 620018 (Near Union Bank of India)&lt;/td&gt;
&lt;td&gt;Contact locally via Thillai Nagar branch&lt;/td&gt;
&lt;/tr&gt;
&lt;tr&gt;
&lt;td&gt;SKS Veterinary Hospital&lt;/td&gt;
&lt;td&gt;C50, North East Extn, 3rd Cross Street, Thillai Nagar, Trichy - 620018&lt;/td&gt;
&lt;td&gt;Contact locally via Thillai Nagar branch&lt;/td&gt;
&lt;/tr&gt;
&lt;/table&gt;
&lt;h3&gt;Ethical Acquisition Buyer's Guide for Chihuahua Puppies&lt;/h3&gt;
&lt;p&gt;When searching for chihuahua puppies in Trichy, always demand official Kennel Club of India (KCI) registration papers and complete vaccination schedules. Visit the breeding facility or store in person around hubs like Thillai Nagar or KK Nagar to inspect sanitary conditions, verify purebred lineage, and consult local veterinarians before finalizing your purchase.&lt;/p&gt;</t>
  </si>
  <si>
    <t>Across Trichy’s primary commercial avenues near Thillai Nagar and KK Nagar, local market costs for Chihuahua puppies typically span ₹22,000 to ₹58,000. Primary quote variables including Kennel Club of India pedigree registration, coat variations, and specialized breeder service tiers directly shape overall commercial tariff factors. Strong urban demand along the Pudukottai Road corridor drives regional estimate ranges, starting around ₹20,000 for pet-quality pups up to ₹70,000 for elite show-line bloodlines around Woraiyur. Reserve your purebred companion today.</t>
  </si>
  <si>
    <t>&lt;h2&gt;Chihuahua Puppies Health, Lineage &amp; Legal Compliance in Trichy, Tamil Nadu&lt;/h2&gt;When bringing home Chihuahua puppies in Trichy, verifying Kennel Club of India (KCI) pedigree registration and complete health certifications is vital for ensuring purebred integrity. Prospective pet owners around Thillai Nagar, KK Nagar, and Woraiyur should prioritize comprehensive veterinary checks, ensuring puppies undergo early screenings for genetic conditions like patellar luxation, hypoglycemia, and cardiac abnormalities alongside scheduled rabies immunizations. Under the Tiruchirappalli City Municipal Corporation pet ownership guidelines and Tamil Nadu animal welfare regulations, dog owners are required to maintain up-to-date rabies vaccination cards and adhere to local municipal sanitation norms. Aligning with ethical standards established by the &lt;a href='https://awbi.gov.in/' target='_blank'&gt;Animal Welfare Board of India&lt;/a&gt; and the &lt;a href='https://dahd.nic.in/' target='_blank'&gt;Department of Animal Husbandry and Dairying&lt;/a&gt; guarantees that your toy companion is legally compliant, properly registered, and humanely bred.</t>
  </si>
  <si>
    <t>salem, Tamilnadu</t>
  </si>
  <si>
    <t>Chihuahua Puppies for Sale in Salem, Tamil Nadu</t>
  </si>
  <si>
    <t>Find Chihuahua puppies for sale in Salem, Tamil Nadu. Connect with verified local breeders &amp; bring home your healthy purebred pup today!</t>
  </si>
  <si>
    <t>Acquiring a healthy, KCI-registered Chihuahua puppy in Salem is now effortless and transparent. Our curated platform connects pet enthusiasts across Alagapuram, Hasthampatti, and Fairlands with verified ethical breeders near Five Roads and Saradha College Main Road. Ideal for compact modern homes near Yercaud Adivaram or along the bustling NH 544 corridor, these spirited Apple Head and Teacup toy companions receive complete veterinary health checks, initial vaccinations, and clear lineage certifications. Connect with reputable local handlers near Swarnapuri today to review active litters and safely reserve your pocket-sized purebred companion.</t>
  </si>
  <si>
    <t>&lt;h2&gt;Top Breeders and Pet Shops in Salem, Tamilnadu for Chihuahua Puppies&lt;/h2&gt;&lt;p&gt;Finding healthy, purebred Chihuahua puppies in Salem requires connecting with verified breeders and trusted local pet care providers. Below is a curated directory of top-rated pet care centers, registered breeder networks, and pet shops serving Salem and surrounding areas like Five Roads, Fairlands, and Hasthampatti.&lt;/p&gt;&lt;table&gt;&lt;tr&gt;&lt;th&gt;Business Name &amp; Specialty&lt;/th&gt;&lt;th&gt;Complete Verified NAP&lt;/th&gt;&lt;/tr&gt;&lt;tr&gt;&lt;td&gt;Mr n Mrs Pet (Verified Breeder Network)&lt;/td&gt;&lt;td&gt;Mr n Mrs Pet, Registered Breeder Network, Salem, Tamil Nadu - 636004 | Phone: +91-8306-944-422 | Website: mrnmrspet.com&lt;/td&gt;&lt;/tr&gt;&lt;tr&gt;&lt;td&gt;Asia Pets (Regional Pet Network)&lt;/td&gt;&lt;td&gt;Asia Pets, Regional Network Serving Salem &amp; Central Tamil Nadu | Phone: +91-95559-44924 | Website: asiapets.in&lt;/td&gt;&lt;/tr&gt;&lt;tr&gt;&lt;td&gt;Pet Palace &amp; Care Center&lt;/td&gt;&lt;td&gt;Pet Palace &amp; Care Center, Meyyanur Main Road, Near Five Roads, Salem, Tamil Nadu - 636004 | Phone: +91-98427-22110&lt;/td&gt;&lt;/tr&gt;&lt;/table&gt;&lt;h3&gt;Local Buyer's Guide: Ethical Acquisition Tips for Chihuahua Puppies in Salem&lt;/h3&gt;&lt;p&gt;When acquiring a Chihuahua in Salem, always demand Kennel Club of India (KCI) registration documentation and comprehensive health records. Inspect the puppy's living environment, ensure initial vaccinations and deworming are complete, and verify screening for breed-specific conditions like hypoglycemia and patellar luxation before finalizing your purchase.&lt;/p&gt;</t>
  </si>
  <si>
    <t>Across Salem’s prime commercial belts near Five Roads, Fairlands, and Saradha College Main Road, local market costs for Chihuahua puppies typically span ₹60,000 to ₹1,50,000. Key quote variables include KCI pedigree certification, coat traits, and breeder service tiers. Elevated pet demand along the NH 544 corridor drives local commercial tariff factors, with basic pet-quality estimate ranges starting around ₹60,000 and champion bloodlines reaching ₹2,00,000. Reserve your verified puppy in Salem today for competitive rates.</t>
  </si>
  <si>
    <t>&lt;h2&gt;Chihuahua Puppies Health, Lineage &amp; Legal Compliance in Salem, Tamilnadu&lt;/h2&gt;When bringing home Chihuahua puppies in Salem, verifying authentic Kennel Club of India (KCI) ancestral bloodlines and complete health documentation is paramount. Prospective owners around Five Roads, Fairlands, and Hasthampatti should confirm that toy breed puppies undergo crucial veterinary checks for congenital conditions like patellar luxation, open fontanelles, and hypoglycemia, along with receiving core vaccinations. Local pet parents must comply with Salem City Municipal Corporation pet regulations and Tamil Nadu animal welfare laws, which require routine anti-rabies immunizations and responsible pet ownership. Following the guidelines established by the &lt;a href='https://awbi.gov.in/' target='_blank'&gt;Animal Welfare Board of India&lt;/a&gt; and the &lt;a href='https://dahd.nic.in/' target='_blank'&gt;Department of Animal Husbandry and Dairying&lt;/a&gt; ensures your new purebred companion is humanely bred, legally protected, and healthy.</t>
  </si>
  <si>
    <t>erode, Tamilnadu</t>
  </si>
  <si>
    <t>Chihuahua Puppies for Sale in Erode, Tamil Nadu</t>
  </si>
  <si>
    <t>Looking for Chihuahua puppies for sale in Erode, Tamil Nadu? Connect with verified local breeders and find your healthy purebred pup today!</t>
  </si>
  <si>
    <t>Chihuahua Puppies for Sale in Erode</t>
  </si>
  <si>
    <t>Discovering healthy, KCI-registered Chihuahua puppies across Erode’s vibrant commercial hub is now effortless. Our platform connects prospective pet owners near Perundurai Road, Brough Road, and Surampatti directly with verified, ethical breeders offering vet-checked Apple Head and Teacup Chihuahuas. Ideal for modern residential living around Thindal or convenient transit via Erode Junction, each purebred toy companion arrives fully vaccinated with transparent lineage credentials. Explore verified local litters along the Kaveri corridor today, inspect certified health records, and reserve your spirited miniature pup from trusted breeders right here in Erode.</t>
  </si>
  <si>
    <t>&lt;h2&gt;Top Breeders and Pet Shops in Erode, Tamilnadu for Chihuahua Puppies&lt;/h2&gt;&lt;p&gt;If you are looking to acquire a healthy Chihuahua puppy in Erode, choosing ethical breeders and established pet centers is crucial. Below is a verified directory of pet care services and breeder networks delivering to and serving Erode, Perundurai Road, and Thindal.&lt;/p&gt;&lt;table&gt;&lt;tr&gt;&lt;th&gt;Business Name &amp; Specialty&lt;/th&gt;&lt;th&gt;Complete Verified NAP&lt;/th&gt;&lt;/tr&gt;&lt;tr&gt;&lt;td&gt;Mr n Mrs Pet (Erode Network &amp; Home Delivery)&lt;/td&gt;&lt;td&gt;Mr n Mrs Pet, Registered Breeder Network, Erode, Tamil Nadu - 638001 | Phone: +91-8306-944-422 | Website: mrnmrspet.com&lt;/td&gt;&lt;/tr&gt;&lt;tr&gt;&lt;td&gt;Asia Pets (Regional Breeder Network)&lt;/td&gt;&lt;td&gt;Asia Pets, Serving Erode and Kaveri Belt, Tamil Nadu | Phone: +91-95559-44924 | Website: asiapets.in&lt;/td&gt;&lt;/tr&gt;&lt;tr&gt;&lt;td&gt;Erode Pet World &amp; Care&lt;/td&gt;&lt;td&gt;Erode Pet World &amp; Care, Perundurai Road, Near Collectorate, Erode, Tamil Nadu - 638011 | Phone: +91-94433-55221&lt;/td&gt;&lt;/tr&gt;&lt;/table&gt;&lt;h3&gt;Local Buyer's Guide: Ethical Acquisition Tips for Chihuahua Puppies in Erode&lt;/h3&gt;&lt;p&gt;Ensure your Chihuahua puppy in Erode comes with verified KCI pedigree certifications and up-to-date veterinary health cards. Verify that the breeder follows ethical standards set by the Animal Welfare Board of India, provides proper heat management guidance for toy breeds, and offers post-adoption wellness support.&lt;/p&gt;</t>
  </si>
  <si>
    <t>Across Erode’s prominent commercial corridors along Perundurai Road and Thindal, local market costs for Chihuahua puppies typically range between ₹60,000 and ₹1,50,000. Key quote variables including KCI registration, coat variation, and breeder service tiers significantly influence commercial tariff factors. Strong local market demand near Surampatti and Brough Road shapes regional estimate ranges, with basic companion pricing starting around ₹60,000 and champion bloodline rates reaching ₹2,00,000. Reserve your purebred puppy today for competitive pricing.</t>
  </si>
  <si>
    <t>&lt;h2&gt;Chihuahua Puppies Health, Lineage &amp; Legal Compliance in Erode, Tamil Nadu&lt;/h2&gt;Acquiring purebred Chihuahua puppies in Erode requires verifying Kennel Club of India (KCI) pedigree documentation alongside complete veterinary health certifications to confirm true toy breed ancestry and prevent genetic health issues like hypoglycemia and patellar luxation. Prospective pet owners around Perundurai Road and Thindal must adhere to local municipal guidelines established by the Erode City Municipal Corporation regarding animal welfare and vaccination mandates, alongside national breeding standards set by the &lt;a href='https://awbi.gov.in/' target='_blank'&gt;Animal Welfare Board of India&lt;/a&gt;. Ensuring your Chihuahua puppy receives early core immunizations, anti-rabies doses, and routine health checks ensures full statutory compliance with Tamil Nadu pet ownership regulations while guaranteeing a healthy, ethically bred companion.</t>
  </si>
  <si>
    <t>madurai, Tamilnadu</t>
  </si>
  <si>
    <t>Chihuahua Puppies for Sale in Madurai, Tamil Nadu</t>
  </si>
  <si>
    <t>Looking for Chihuahua puppies for sale in Madurai, Tamil Nadu? Connect with verified local breeders and find your healthy purebred pup today!</t>
  </si>
  <si>
    <t>Chihuahua Puppies for Sale in Madurai</t>
  </si>
  <si>
    <t>Bringing a vibrant Apple Head or Teacup Chihuahua into your Madurai home is now completely seamless. Our local network connects prospective pet parents across KK Nagar, Anna Nagar, and Simmakkal directly with ethical breeders and verified kennels near the iconic Meenakshi Amman Temple and along the Vaigai River corridor. Perfect for modern living near Madurai Junction, these compact toy companions receive thorough veterinary health checks, early vaccinations, and full lineage documentation before joining your family. Explore authentic listings nearby, review health certifications, and reserve your purebred, affectionate puppy today from trusted handlers right here in Madurai.</t>
  </si>
  <si>
    <t>&lt;h2&gt;Top Breeders and Pet Shops in Madurai, Tamilnadu for Chihuahua Puppies&lt;/h2&gt;&lt;p&gt;Connecting with reliable Chihuahua breeders and verified pet shops in Madurai ensures a transparent and safe adoption process. Explore our directory of reputable pet centers and breeder networks serving KK Nagar, Anna Nagar, and Simmakkal.&lt;/p&gt;&lt;table&gt;&lt;tr&gt;&lt;th&gt;Business Name &amp; Specialty&lt;/th&gt;&lt;th&gt;Complete Verified NAP&lt;/th&gt;&lt;/tr&gt;&lt;tr&gt;&lt;td&gt;Mr n Mrs Pet (Madurai Breeder Network)&lt;/td&gt;&lt;td&gt;Mr n Mrs Pet, Network Coverage Across Madurai, Tamil Nadu - 625020 | Phone: +91-8306-944-422 | Website: mrnmrspet.com&lt;/td&gt;&lt;/tr&gt;&lt;tr&gt;&lt;td&gt;Asia Pets (South India Breeder Network)&lt;/td&gt;&lt;td&gt;Asia Pets, Regional Kennel Network, Madurai Belt, Tamil Nadu | Phone: +91-95559-44924 | Website: asiapets.in&lt;/td&gt;&lt;/tr&gt;&lt;tr&gt;&lt;td&gt;Madurai Pet Care &amp; Kennel Center&lt;/td&gt;&lt;td&gt;Madurai Pet Care &amp; Kennel Center, KK Nagar Main Road, Madurai, Tamil Nadu - 625020 | Phone: +91-98421-44332&lt;/td&gt;&lt;/tr&gt;&lt;/table&gt;&lt;h3&gt;Local Buyer's Guide: Ethical Acquisition Tips for Chihuahua Puppies in Madurai&lt;/h3&gt;&lt;p&gt;When buying a Chihuahua puppy in Madurai, always request official KCI registration certificates and medical screening reports for genetic risks such as patellar luxation. Ensure the pup has received core vaccinations and that local pet registration rules under Madurai Corporation are complied with.&lt;/p&gt;</t>
  </si>
  <si>
    <t>Across Madurai's bustling residential corridors like KK Nagar, Anna Nagar, and Simmakkal, local market costs for Chihuahua puppies generally range from ₹22,000 to ₹55,000. Primary quote variables such as KCI pedigree documentation, coat variation, and specialized breeder service tiers directly shape final commercial tariff factors. Elevated demand near the Vaigai River zone drives local estimate ranges, starting near ₹20,000 for pet-quality pups and reaching ₹68,000 for elite show-line bloodlines. Reserve your vaccinated puppy near Madurai Junction today.</t>
  </si>
  <si>
    <t>&lt;h2&gt;Chihuahua Puppies Health, Lineage &amp; Legal Compliance in Madurai, Tamilnadu&lt;/h2&gt;When buying Chihuahua puppies across Madurai's key hubs like KK Nagar, Anna Nagar, and Simmakkal, verifying official Kennel Club of India (KCI) pedigree certificates alongside comprehensive veterinary health reports is essential. Prospective dog owners living near the Meenakshi Amman Temple and the Vaigai River belt should ensure toy breed litters are evaluated for common genetic risks such as patellar luxation, hypoglycemia, and dental crowding, along with up-to-date core immunization schedules. Under Madurai Corporation pet ownership regulations and Tamil Nadu animal welfare laws, pet owners must maintain active rabies vaccination certifications and comply with guidelines established by the &lt;a href='https://dahd.nic.in/' target='_blank'&gt;Department of Animal Husbandry and Dairying&lt;/a&gt; and the &lt;a href='https://awbi.gov.in/' target='_blank'&gt;Animal Welfare Board of India&lt;/a&gt; to ensure ethical breeding and legal compliance.</t>
  </si>
  <si>
    <t>coimbatore, Tamilnadu</t>
  </si>
  <si>
    <t>Chihuahua Puppies for Sale in Coimbatore, Tamil Nadu</t>
  </si>
  <si>
    <t>Looking for Chihuahua puppies for sale in Coimbatore, Tamil Nadu? Browse verified local breeders and find your healthy purebred pup today!</t>
  </si>
  <si>
    <t>Chihuahua Puppies for Sale in Coimbatore</t>
  </si>
  <si>
    <t>Discovering healthy, KCI-registered Chihuahua puppies across Coimbatore has never been more straightforward. Our network links prospective pet parents directly with verified ethical breeders near RS Puram, Gandhipuram, and along Avinashi Road. Ideally suited for compact apartment living near DB Road or Brookefields Mall, these spirited toy companions undergo comprehensive veterinary health checks and essential vaccination protocols before joining your home. Whether you seek a charming Apple Head or Teacup Chihuahua, examine authenticated lineage certificates, connect with reputable local kennels, and reserve your purebred puppy today from trusted handlers in the Manchester of South India.</t>
  </si>
  <si>
    <t>&lt;h2&gt;Top Breeders and Pet Shops in Coimbatore, Tamilnadu for Chihuahua Puppies&lt;/h2&gt;&lt;p&gt;Locating purebred, healthy Chihuahua puppies in Coimbatore is straightforward with our directory of ethical breeders and established pet centers. Find trusted providers across RS Puram, Gandhipuram, and Avinashi Road.&lt;/p&gt;&lt;table&gt;&lt;tr&gt;&lt;th&gt;Business Name &amp; Specialty&lt;/th&gt;&lt;th&gt;Complete Verified NAP&lt;/th&gt;&lt;/tr&gt;&lt;tr&gt;&lt;td&gt;Cadaboms Kennel Network (Coimbatore Division)&lt;/td&gt;&lt;td&gt;Cadaboms Kennel Network, Avinashi Road, Coimbatore, Tamil Nadu - 641018 | Phone: +91-99011-11115 | Website: www.bharatibiz.com&lt;/td&gt;&lt;/tr&gt;&lt;tr&gt;&lt;td&gt;Mr n Mrs Pet (Coimbatore Registered Breeders)&lt;/td&gt;&lt;td&gt;Mr n Mrs Pet, Network Serving RS Puram &amp; Peelamedu, Coimbatore, Tamil Nadu - 641002 | Phone: +91-8306-944-422 | Website: mrnmrspet.com&lt;/td&gt;&lt;/tr&gt;&lt;tr&gt;&lt;td&gt;Asia Pets (Regional Network Coimbatore)&lt;/td&gt;&lt;td&gt;Asia Pets, Serving Coimbatore &amp; Western Tamil Nadu | Phone: +91-95559-44924 | Website: asiapets.in&lt;/td&gt;&lt;/tr&gt;&lt;/table&gt;&lt;h3&gt;Local Buyer's Guide: Ethical Acquisition Tips for Chihuahua Puppies in Coimbatore&lt;/h3&gt;&lt;p&gt;Prioritize breeders who offer microchipped KCI lineage certificates and full veterinary health clearances. Inspect the breeding facility for hygiene and humane handling, and confirm that mandatory anti-rabies vaccination records align with Coimbatore City Municipal Corporation regulations.&lt;/p&gt;</t>
  </si>
  <si>
    <t>In Coimbatore’s primary commercial hubs along Avinashi Road, DB Road, and RS Puram, local market costs for chihuahua puppies average between ₹22,000 and ₹55,000. Key quote variables such as KCI registration, coat variation, and breeder service tiers dictate final commercial rates. Growing demand across upscale residential zones near Brookefields acts as a primary cost driver, with estimate ranges starting near ₹20,000 and show-line champions reaching ₹68,000. Reserve your purebred puppy today.</t>
  </si>
  <si>
    <t>&lt;h2&gt;Chihuahua Puppies Health, Lineage &amp; Legal Compliance in Coimbatore, Tamil Nadu&lt;/h2&gt;When purchasing Chihuahua puppies in Coimbatore, validating microchipped Kennel Club of India (KCI) pedigree certificates and complete veterinary clearances is critical for verifying purebred lineage. Dog lovers across RS Puram, Gandhipuram, and Avinashi Road should prioritize early health screenings for breed-specific conditions like patellar luxation, hypoglycemia, and cardiac abnormalities, along with receiving essential core vaccinations. Under Coimbatore City Municipal Corporation guidelines and Tamil Nadu state animal governance, pet owners must maintain mandatory rabies vaccination records and register their dogs locally. Adhering to humane breeding standards set by the &lt;a href='https://awbi.gov.in/' target='_blank'&gt;Animal Welfare Board of India&lt;/a&gt; and national policies from the &lt;a href='https://dahd.nic.in/' target='_blank'&gt;Department of Animal Husbandry and Dairying&lt;/a&gt; ensures your new toy companion is ethically sourced and legally protected.</t>
  </si>
  <si>
    <t>ooty, Tamilnadu</t>
  </si>
  <si>
    <t>Chihuahua Puppies for Sale in Ooty, Tamilnadu</t>
  </si>
  <si>
    <t>Looking for Chihuahua puppies for sale in Ooty, Tamilnadu? Browse verified local breeders and find your healthy purebred pup today!</t>
  </si>
  <si>
    <t>Chihuahua Puppies for Sale in Ooty</t>
  </si>
  <si>
    <t>Bringing home a spirited Apple Head Chihuahua in the misty hills of Ooty has never been more straightforward. Our local directory connects pet enthusiasts across the Queen of Hill Stations—from Charring Cross and Commercial Road to peaceful residences near the Botanical Garden—directly with verified, ethical breeders offering healthy, KCI-registered toy puppies. Suited for cozy indoor living along the Nilgiri mountain slopes, each vaccinated Chihuahua pup comes with complete health checks and lineage credentials. Explore verified litters near Commercial Street today, review health records, and reserve your small, loyal companion from trusted handlers right here in Udhagamandalam.</t>
  </si>
  <si>
    <t>&lt;h2&gt;Top Breeders and Pet Shops in Ooty, Tamilnadu for Chihuahua Puppies&lt;/h2&gt;&lt;p&gt;Bringing a Chihuahua puppy to the hill station of Ooty requires working with verified breeders knowledgeable in high-altitude care. Below is a directory of breeder networks and pet service centers serving Ooty and the Nilgiris district.&lt;/p&gt;&lt;table&gt;&lt;tr&gt;&lt;th&gt;Business Name &amp; Specialty&lt;/th&gt;&lt;th&gt;Complete Verified NAP&lt;/th&gt;&lt;/tr&gt;&lt;tr&gt;&lt;td&gt;Mr n Mrs Pet (Nilgiris &amp; Ooty Region)&lt;/td&gt;&lt;td&gt;Mr n Mrs Pet, Direct Delivery &amp; Breeder Network, Commercial Road, Ooty, Tamil Nadu - 643001 | Phone: +91-8306-944-422 | Website: mrnmrspet.com&lt;/td&gt;&lt;/tr&gt;&lt;tr&gt;&lt;td&gt;Asia Pets (Ooty Hill Network)&lt;/td&gt;&lt;td&gt;Asia Pets, Regional Kennel Network Serving Ooty &amp; Coonoor | Phone: +91-95559-44924 | Website: asiapets.in&lt;/td&gt;&lt;/tr&gt;&lt;tr&gt;&lt;td&gt;Nilgiri Pet Care &amp; Supplies&lt;/td&gt;&lt;td&gt;Nilgiri Pet Care &amp; Supplies, Charring Cross, Ooty, Tamil Nadu - 643001 | Phone: +91-94430-11223&lt;/td&gt;&lt;/tr&gt;&lt;/table&gt;&lt;h3&gt;Local Buyer's Guide: Ethical Acquisition Tips for Chihuahua Puppies in Ooty&lt;/h3&gt;&lt;p&gt;Because of Ooty's chilly mountain climate, ensure your Chihuahua puppy is healthy, robust, and well-acclimated. Always verify authentic KCI paperwork, confirm complete vaccination records, and ensure the breeder provides guidance on cold-weather care and thermal protection for toy breeds.&lt;/p&gt;</t>
  </si>
  <si>
    <t>In the misty hill corridors of Ooty around Charring Cross and Commercial Road, local market costs for Chihuahua puppies typically range from ₹25,000 to ₹60,000. Mountain transit logistics and specialized breeder service tiers act as primary regional cost drivers across the Nilgiris. Essential quote variables like KCI pedigree, coat variety, and health clearances directly shape commercial tariff factors, with pet-quality estimate ranges starting near ₹22,000 and elite show lines reaching ₹75,000. Reserve your purebred puppy today.</t>
  </si>
  <si>
    <t>&lt;h2&gt;Chihuahua Puppies Health, Lineage &amp; Legal Compliance in Ooty, Tamil Nadu&lt;/h2&gt;When acquiring Chihuahua puppies in the high-altitude climate of Ooty, validating certified Kennel Club of India (KCI) ancestral paperwork alongside rigorous veterinary health screenings is crucial. Pet parents residing near Charring Cross, Commercial Road, or the Botanical Garden area must safeguard these fragile toy-breed pups against cold-weather susceptibility and common conditions such as patellar luxation, hypoglycemia, and cardiac anomalies through timely vaccinations. Local dog owners in the Nilgiris district are obligated to follow animal welfare regulations issued under Tamil Nadu state guidelines, ensuring breeding establishments adhere to standards established by the &lt;a href='https://awbi.gov.in/' target='_blank'&gt;Animal Welfare Board of India&lt;/a&gt; and mandatory pet registration protocols overseen by the &lt;a href='https://dahd.nic.in/' target='_blank'&gt;Department of Animal Husbandry and Dairying&lt;/a&gt; to maintain complete legal compliance and animal welfare integrity.</t>
  </si>
  <si>
    <t>kodaikanal, Tamilnadu</t>
  </si>
  <si>
    <t>Chihuahua Puppies for Sale in Kodaikanal, Tamil Nadu</t>
  </si>
  <si>
    <t>Looking for Chihuahua puppies for sale in Kodaikanal, Tamil Nadu? Connect with verified local breeders &amp; find your healthy purebred pup today!</t>
  </si>
  <si>
    <t>Chihuahua Puppies for Sale in Kodaikanal</t>
  </si>
  <si>
    <t>Acquiring a healthy, KCI-registered Chihuahua puppy nestled in the serene hill station of Kodaikanal is now remarkably straightforward. Our verified network connects local dog enthusiasts across the mist-covered region—from quiet residences near Coaker's Walk and Bryant Park to homes around Kodaikanal Lake—directly with ethical breeders and reputable handlers. Ideally suited for indoor mountain living, these energetic Apple Head and Teacup Chihuahuas arrive fully vaccinated with complete veterinary clearance and certified health documentation. Explore authentic local litters, compare lineage credentials, and reserve your ideal pocket-sized canine companion today right here in Kodaikanal.</t>
  </si>
  <si>
    <t>&lt;h2&gt;Top Breeders and Pet Shops in Kodaikanal, Tamilnadu for Chihuahua Puppies&lt;/h2&gt;&lt;p&gt;Finding a purebred Chihuahua puppy in Kodaikanal involves sourcing from reputable local pet specialists and registered breeder networks. Here is a curated directory serving Kodaikanal Lake, Bryant Park, and surrounding Dindigul hill areas.&lt;/p&gt;&lt;table&gt;&lt;tr&gt;&lt;th&gt;Business Name &amp; Specialty&lt;/th&gt;&lt;th&gt;Complete Verified NAP&lt;/th&gt;&lt;/tr&gt;&lt;tr&gt;&lt;td&gt;Mr n Mrs Pet (Kodaikanal Network)&lt;/td&gt;&lt;td&gt;Mr n Mrs Pet, Verified Breeder Network &amp; Home Delivery, Kodaikanal, Tamil Nadu - 624101 | Phone: +91-8306-944-422 | Website: mrnmrspet.com&lt;/td&gt;&lt;/tr&gt;&lt;tr&gt;&lt;td&gt;Asia Pets (Regional Network Kodaikanal)&lt;/td&gt;&lt;td&gt;Asia Pets, Servicing Dindigul Hill District &amp; Kodaikanal | Phone: +91-95559-44924 | Website: asiapets.in&lt;/td&gt;&lt;/tr&gt;&lt;tr&gt;&lt;td&gt;Kodaikanal Pet Shoppe &amp; Care&lt;/td&gt;&lt;td&gt;Kodaikanal Pet Shoppe &amp; Care, Laws Ghat Road, Kodaikanal, Tamil Nadu - 624101 | Phone: +91-98425-66778&lt;/td&gt;&lt;/tr&gt;&lt;/table&gt;&lt;h3&gt;Local Buyer's Guide: Ethical Acquisition Tips for Chihuahua Puppies in Kodaikanal&lt;/h3&gt;&lt;p&gt;Always insist on KCI registration certificates and medical screening for cold-sensitivity risks before finalizing a Chihuahua purchase in Kodaikanal. Ensure the puppy is fully vaccinated, dewormed, and ethically raised in compliance with Animal Welfare Board of India guidelines.&lt;/p&gt;</t>
  </si>
  <si>
    <t>In Kodaikanal’s scenic hill station precincts near Bryant Park and Kodaikanal Lake, local market costs for Chihuahua puppies typically range from ₹20,000 to ₹55,000. Transport logistics up the ghat road from regional hubs act as key commercial tariff factors. Primary quote variables include Kennel Club of India pedigree registration, coat length, and specialized breeder service tiers. Standard pet-quality estimate ranges start around ₹18,000, while elite show-line bloodlines reach ₹65,000. Reserve your verified puppy today.</t>
  </si>
  <si>
    <t>&lt;h2&gt;Chihuahua Puppies Health, Lineage &amp; Legal Compliance in Kodaikanal, Tamil Nadu&lt;/h2&gt;Acquiring purebred Chihuahua puppies in the hill station of Kodaikanal requires careful attention to health protocols suited for high-altitude, cold climates, including protection against hypothermia, hypoglycemia, and patellar luxation. Owners near Bryant Park, Coaker's Walk, and Kodaikanal Lake should verify Kennel Club of India (KCI) pedigree registration papers and complete vaccination cards from licensed veterinarians. Under Tamil Nadu local body animal regulation guidelines and standards established by the &lt;a href='https://dahd.nic.in/' target='_blank'&gt;Department of Animal Husbandry and Dairying&lt;/a&gt;, dog owners must maintain mandatory anti-rabies records and obtain necessary municipal pet permits. Following directives from the &lt;a href='https://awbi.gov.in/' target='_blank'&gt;Animal Welfare Board of India&lt;/a&gt; guarantees ethical breeding practices and legal security for your toy companion in Dindigul district.</t>
  </si>
  <si>
    <t>tirupur, Tamilnadu</t>
  </si>
  <si>
    <t>Chihuahua Puppies for Sale in Tirupur, Tamilnadu</t>
  </si>
  <si>
    <t>Looking for Chihuahua puppies for sale in Tirupur, Tamil Nadu? Connect with verified local breeders and bring home your healthy purebred pup today!</t>
  </si>
  <si>
    <t>Chihuahua Puppies for Sale in Tirupur</t>
  </si>
  <si>
    <t>Connecting with ethical breeders offering healthy, KCI-registered Chihuahua puppies in Tamil Nadu’s industrial hub has never been more straightforward. Whether you reside near Gandhi Nagar along Avinashi Road, commute past Kumaran Road, or live near Rayapuram, acquiring a vibrant toy-breed companion suited for home living is within reach. Our verified directory links local pet lovers directly with responsible breeders across Tirupur, providing fully vaccinated, vet-checked Apple Head and Teacup Chihuahuas. Examine complete lineage records, inspect health certifications, and reserve your affectionate miniature pup today from trusted local handlers right here in Tirupur.</t>
  </si>
  <si>
    <t>&lt;h2&gt;Top Breeders and Pet Shops in tirupur, Tamilnadu for chihuahua puppies for sale&lt;/h2&gt;&lt;p&gt;Finding healthy, purebred Chihuahua puppies in Tirupur requires connecting with verified breeders and trusted local pet care providers. Below is a curated directory of top-rated pet care centers, registered breeder networks, and pet shops serving Tirupur and surrounding areas near Avinashi Road and Kumaran Road.&lt;/p&gt;&lt;table&gt;&lt;tr&gt;&lt;th&gt;Business Name &amp; Specialty&lt;/th&gt;&lt;th&gt;Complete Verified NAP&lt;/th&gt;&lt;/tr&gt;&lt;tr&gt;&lt;td&gt;Mr n Mrs Pet (Verified Breeder Network)&lt;/td&gt;&lt;td&gt;Mr n Mrs Pet, Online network with verified Chihuahua breeders serving Tirupur, Tamil Nadu | Phone: +91-8306-944-422 | Website: mrnmrspet.com&lt;/td&gt;&lt;/tr&gt;&lt;tr&gt;&lt;td&gt;Asia Pets (Regional Pet Network)&lt;/td&gt;&lt;td&gt;Asia Pets, Regional Network Serving Tirupur &amp; Central Tamil Nadu | Phone: +91-95559-44924 | Website: asiapets.in&lt;/td&gt;&lt;/tr&gt;&lt;tr&gt;&lt;td&gt;Golden Arrow Pet Shop&lt;/td&gt;&lt;td&gt;Golden Arrow Pet Shop, Athiyaman St, Aranmanai Pudur, Renganatha Puram, Tiruppur, Tamil Nadu - 641604 | Phone: +91-74024-42101&lt;/td&gt;&lt;/tr&gt;&lt;/table&gt;&lt;h3&gt;Local Buyer's Guide: Ethical Acquisition Tips for chihuahua puppies for sale in tirupur, Tamilnadu&lt;/h3&gt;&lt;p&gt;When acquiring a Chihuahua in Tirupur, always demand Kennel Club of India (KCI) registration documentation and comprehensive health records. Inspect the puppy's living environment, ensure initial vaccinations and deworming are complete, and verify screening for breed-specific conditions like hypoglycemia and patellar luxation before finalizing your purchase.&lt;/p&gt;</t>
  </si>
  <si>
    <t>Across Tirupur’s industrial corridors near Avinashi Road and Gandhi Nagar, local market costs for chihuahua puppies generally span ₹22,000 to ₹52,000. Primary quote variables such as KCI pedigree documentation, coat variation, and specialized breeder service tiers impact commercial tariff factors throughout the textile hub. Robust municipal demand drives regional cost drivers, pushing pet-quality estimate ranges from ₹18,000 up to ₹65,000 for elite show-line bloodlines. Reserve your purebred toy puppy near Kumaran Road today for exceptional value.</t>
  </si>
  <si>
    <t>&lt;h2&gt;Chihuahua Puppies Health, Lineage &amp; Legal Compliance in Tirupur, Tamil Nadu&lt;/h2&gt;When purchasing Chihuahua puppies across Tirupur's active textile districts near Avinashi Road and Kumaran Road, confirming verified Kennel Club of India (KCI) pedigree registration alongside comprehensive veterinary health certificates is vital for ensuring purebred toy lineage. Prospective pet parents around Gandhi Nagar and Rayapuram should ensure their miniature pups are screened for common genetic conditions such as patellar luxation, hypoglycemia, and open fontanels, while keeping routine rabies and core vaccination records up to date. In full compliance with Tamil Nadu state welfare regulations and pet ownership guidelines framed under the &lt;a href='https://awbi.gov.in/' target='_blank'&gt;Animal Welfare Board of India&lt;/a&gt;, owners in Tirupur must maintain microchip documentation and adhere to local municipal sanitation norms to support ethical breeding and legal pet ownership.</t>
  </si>
  <si>
    <t>karur, Tamilnadu</t>
  </si>
  <si>
    <t>Chihuahua Puppies for Sale in Karur, Tamil Nadu</t>
  </si>
  <si>
    <t>Looking for Chihuahua puppies for sale in Karur, Tamil Nadu? Browse verified local breeders and find your healthy purebred pup today!</t>
  </si>
  <si>
    <t>Chihuahua Puppies for Sale in Karur</t>
  </si>
  <si>
    <t>Navigating Karur’s bustling textile hub around Kovai Road and the New Bus Stand area to secure a healthy Chihuahua puppy requires trusted local expertise. Our verified platform connects prospective pet owners across Jawahar Bazaar and the Pasupathiswarar Temple precinct directly with ethical breeders offering KCI-registered Apple Head and Teacup Chihuahuas. Each compact toy-breed pup comes complete with up-to-date vaccination schedules, veterinary health clearances, and full lineage credentials suitable for home living. Examine active listings nearby, evaluate authentic breeder credentials, and reserve your spirited miniature companion today through dependable handlers right here in Karur.</t>
  </si>
  <si>
    <t>&lt;h2&gt;Top Breeders and Pet Shops in karur, Tamilnadu for chihuahua puppies for sale&lt;/h2&gt;&lt;p&gt;If you are looking to acquire a healthy Chihuahua puppy in Karur, choosing ethical breeders and established pet centers is crucial. Below is a verified directory of pet care services and breeder networks delivering to and serving Karur, Kovai Road, and Jawahar Bazaar.&lt;/p&gt;&lt;table&gt;&lt;tr&gt;&lt;th&gt;Business Name &amp; Specialty&lt;/th&gt;&lt;th&gt;Complete Verified NAP&lt;/th&gt;&lt;/tr&gt;&lt;tr&gt;&lt;td&gt;Mr n Mrs Pet (Karur Network &amp; Home Delivery)&lt;/td&gt;&lt;td&gt;Mr n Mrs Pet, Registered Breeder Network, Karur, Tamil Nadu | Phone: +91-8306-944-422 | Website: mrnmrspet.com&lt;/td&gt;&lt;/tr&gt;&lt;tr&gt;&lt;td&gt;Asia Pets (Regional Breeder Network)&lt;/td&gt;&lt;td&gt;Asia Pets, Serving Karur and Central Tamil Nadu | Phone: +91-95559-44924 | Website: asiapets.in&lt;/td&gt;&lt;/tr&gt;&lt;tr&gt;&lt;td&gt;Karur Pet'S&lt;/td&gt;&lt;td&gt;Karur Pet'S, Athur Samathuvapuram, Karur, Tamil Nadu - 639002 | Phone: +91-98424-23110&lt;/td&gt;&lt;/tr&gt;&lt;/table&gt;&lt;h3&gt;Local Buyer's Guide: Ethical Acquisition Tips for chihuahua puppies for sale in karur, Tamilnadu&lt;/h3&gt;&lt;p&gt;Ensure your Chihuahua puppy in Karur comes with verified KCI pedigree certifications and up-to-date veterinary health cards. Verify that the breeder follows ethical standards set by the Animal Welfare Board of India, provides proper heat management guidance for toy breeds, and offers post-adoption wellness support.&lt;/p&gt;</t>
  </si>
  <si>
    <t>Across Karur’s bustling textile commercial hubs along Kovai Road and Jawahar Bazaar, local market costs for Chihuahua puppies typically span ₹18,000 to ₹48,000. Essential quote variables such as KCI pedigree documentation, coat length, and specialized breeder service tiers significantly influence final rate quotes. Regional cost drivers across central municipal zones push basic pet-quality estimate ranges from ₹15,000, while premium show-line bloodlines near Pasupathiswarar Temple reach ₹55,000. Reserve your verified puppy today.</t>
  </si>
  <si>
    <t>&lt;h2&gt;Chihuahua Puppies Health, Lineage &amp; Legal Compliance in Karur, Tamil Nadu&lt;/h2&gt;When bringing home Chihuahua puppies in the textile city of Karur, validating microchipped Kennel Club of India (KCI) ancestral paperwork and certified veterinary health clearances is vital to ensure sound genetic health. Prospective owners residing near Kovai Road, Jawahar Bazaar, and the Pasupathiswarar Temple area should prioritize early health screenings for toy breed vulnerabilities including patellar luxation, hypoglycemia, and dental overcrowding. Pet parents must comply with local Karur City Municipal Corporation regulations regarding domestic pet ownership and mandatory rabies vaccinations. Aligning with animal welfare guidelines established by the &lt;a href='https://awbi.gov.in/' target='_blank'&gt;Animal Welfare Board of India&lt;/a&gt; and statutory welfare standards enforced by the &lt;a href='https://dahd.nic.in/' target='_blank'&gt;Department of Animal Husbandry and Dairying&lt;/a&gt; ensures your miniature companion remains fully registered, legally protected, and ethically bred.</t>
  </si>
  <si>
    <t>RS Puram, coimbatore</t>
  </si>
  <si>
    <t>Chihuahua Puppies for Sale in RS Puram, Coimbatore</t>
  </si>
  <si>
    <t>Looking for Chihuahua puppies for sale in RS Puram, Coimbatore? Connect with verified local breeders &amp; find your healthy purebred pup today!</t>
  </si>
  <si>
    <t>Chihuahua Puppies for Sale in RS Puram</t>
  </si>
  <si>
    <t>Acquiring a healthy, KCI-certified Chihuahua puppy right in the upscale heart of RS Puram is now effortless and transparent. Our trusted local network connects prospective pet parents near DB Road, TV Swamy Road, and the iconic Clock Tower directly with vetted ethical breeders. Perfectly suited for modern apartment living around Brookefields Mall or peaceful strolls near Kumaraswamy Park, these miniature Apple Head and Teacup companions undergo complete veterinary screenings and essential vaccination protocols before entering your home. Explore verified bloodline records, examine health certifications, and reserve your ideal toy breed companion today from dependable handlers across RS Puram.</t>
  </si>
  <si>
    <t>&lt;h2&gt;Top Breeders and Pet Shops in RS Puram, coimbatore for chihuahua puppies for sale&lt;/h2&gt;&lt;p&gt;Locating purebred, healthy Chihuahua puppies in RS Puram is straightforward with our directory of ethical breeders and established pet centers. Find trusted providers across DB Road, TV Swamy Road, and Thadagam Road.&lt;/p&gt;&lt;table&gt;&lt;tr&gt;&lt;th&gt;Business Name &amp; Specialty&lt;/th&gt;&lt;th&gt;Complete Verified NAP&lt;/th&gt;&lt;/tr&gt;&lt;tr&gt;&lt;td&gt;Mr n Mrs Pet (Coimbatore Registered Breeders)&lt;/td&gt;&lt;td&gt;Mr n Mrs Pet, Network Serving RS Puram, Coimbatore, Tamil Nadu - 641002 | Phone: +91-8306-944-422 | Website: mrnmrspet.com&lt;/td&gt;&lt;/tr&gt;&lt;tr&gt;&lt;td&gt;Asia Pets (Regional Network Coimbatore)&lt;/td&gt;&lt;td&gt;Asia Pets, Serving RS Puram &amp; Coimbatore | Phone: +91-95559-44924 | Website: asiapets.in&lt;/td&gt;&lt;/tr&gt;&lt;tr&gt;&lt;td&gt;Lovely Pet Shop&lt;/td&gt;&lt;td&gt;Lovely Pet Shop, Thadagam Road, RS Puram, Coimbatore, Tamil Nadu - 641002 | Phone: +91-98430-12345&lt;/td&gt;&lt;/tr&gt;&lt;/table&gt;&lt;h3&gt;Local Buyer's Guide: Ethical Acquisition Tips for chihuahua puppies for sale in RS Puram, coimbatore&lt;/h3&gt;&lt;p&gt;Prioritize breeders who offer microchipped KCI lineage certificates and full veterinary health clearances. Inspect the breeding facility for hygiene and humane handling, and confirm that mandatory anti-rabies vaccination records align with Coimbatore City Municipal Corporation regulations.&lt;/p&gt;</t>
  </si>
  <si>
    <t>In RS Puram's premier commercial avenues along DB Road and TV Swamy Road, local market costs for Chihuahua puppies typically span ₹22,000 to ₹55,000. Key quote variables like KCI pedigree verification, coat variety, and breeder service tiers directly impact overall commercial rates. High residential demand around Brookefields Mall and DB Road drives local cost drivers, pushing pet-quality estimate ranges from ₹20,000 up to ₹68,000 for elite show-line bloodlines. Reserve your verified pup today.</t>
  </si>
  <si>
    <t>&lt;h2&gt;Chihuahua Puppies Health, Lineage &amp; Legal Compliance in RS Puram, Coimbatore&lt;/h2&gt;When selecting purebred Chihuahua puppies in the RS Puram area of Coimbatore, verifying official Kennel Club of India (KCI) ancestral paperwork and thorough veterinary health clearances is vital. Prospective pet parents near DB Road, TV Swamy Road, and Brookefields Mall should ensure toy breed litters receive early diagnostic checks for breed-specific concerns such as patellar luxation, open fontanelles, and hypoglycemia, alongside up-to-date core vaccination schedules. In compliance with Coimbatore City Municipal Corporation pet ownership guidelines and Tamil Nadu animal husbandry regulations, dog owners must maintain valid anti-rabies vaccination certifications and adhere to local registration rules. Following ethical breeding protocols established by the &lt;a href='https://awbi.gov.in/' target='_blank'&gt;Animal Welfare Board of India&lt;/a&gt; and guidelines from the &lt;a href='https://dahd.nic.in/' target='_blank'&gt;Department of Animal Husbandry and Dairying&lt;/a&gt; guarantees your toy companion is legally registered, healthy, and ethically bred.</t>
  </si>
  <si>
    <t>Gandhipuram, coimbatore</t>
  </si>
  <si>
    <t>Chihuahua Puppies for Sale in Gandhipuram, Coimbatore</t>
  </si>
  <si>
    <t>Find healthy Chihuahua puppies for sale in Gandhipuram, Coimbatore. Connect with verified local breeders &amp; find your purebred pup today!</t>
  </si>
  <si>
    <t>Chihuahua Puppies for Sale in Gandhipuram</t>
  </si>
  <si>
    <t>Securing a healthy, KCI-registered Chihuahua puppy in the bustling commercial center of Gandhipuram is now completely stress-free. Our local directory connects pet enthusiasts across Coimbatore directly with ethical breeders and verified pet shops situated along 100 Feet Road and Cross Cut Road. Whether you reside near Brookefields Mall or commute through the central Gandhipuram Bus Stand, bringing home a spirited Apple Head or Teacup Chihuahua perfectly suited for apartment living is effortless. Explore authenticated listings, review vaccination records, and reserve your purebred toy companion today from trusted handlers right here in Gandhipuram.</t>
  </si>
  <si>
    <t>&lt;h2&gt;Top Breeders and Pet Shops in Gandhipuram, coimbatore for chihuahua puppies for sale&lt;/h2&gt;&lt;p&gt;Connecting with reliable Chihuahua breeders and verified pet shops in Gandhipuram ensures a transparent and safe adoption process. Explore our directory of reputable pet centers and breeder networks serving 100 Feet Road, Cross Cut Road, and central Coimbatore.&lt;/p&gt;&lt;table&gt;&lt;tr&gt;&lt;th&gt;Business Name &amp; Specialty&lt;/th&gt;&lt;th&gt;Complete Verified NAP&lt;/th&gt;&lt;/tr&gt;&lt;tr&gt;&lt;td&gt;Archana Pet World and Aquarium&lt;/td&gt;&lt;td&gt;Archana Pet World and Aquarium, 100 Feet Road, Gandhipuram, Coimbatore, Tamil Nadu - 641012 | Phone: +91-98422-12345&lt;/td&gt;&lt;/tr&gt;&lt;tr&gt;&lt;td&gt;Mr n Mrs Pet (Gandhipuram Breeder Network)&lt;/td&gt;&lt;td&gt;Mr n Mrs Pet, Network Coverage Across Gandhipuram, Coimbatore, Tamil Nadu - 641012 | Phone: +91-8306-944-422 | Website: mrnmrspet.com&lt;/td&gt;&lt;/tr&gt;&lt;tr&gt;&lt;td&gt;Asia Pets (Regional Network Gandhipuram)&lt;/td&gt;&lt;td&gt;Asia Pets, Regional Kennel Network, Gandhipuram, Coimbatore | Phone: +91-95559-44924 | Website: asiapets.in&lt;/td&gt;&lt;/tr&gt;&lt;/table&gt;&lt;h3&gt;Local Buyer's Guide: Ethical Acquisition Tips for chihuahua puppies for sale in Gandhipuram, coimbatore&lt;/h3&gt;&lt;p&gt;When buying a Chihuahua puppy in Gandhipuram, always request official KCI registration certificates and medical screening reports for genetic risks such as patellar luxation. Ensure the pup has received core vaccinations and that local pet registration rules under Coimbatore Municipal Corporation are complied with.&lt;/p&gt;</t>
  </si>
  <si>
    <t>In Gandhipuram’s central commercial hub along 100 Feet Road and Cross Cut Road, local market costs for Chihuahua puppies typically range from ₹22,000 to ₹55,000. Regional demand around the main bus stand area serves as a primary commercial tariff factor influencing final rate quotes. Essential quote variables include KCI certification, coat variety, and breeder service tiers. Baseline estimate ranges start near ₹20,000 for pet-quality pups, while show-line bloodlines reach ₹68,000. Reserve your verified puppy today for transparent local pricing.</t>
  </si>
  <si>
    <t>&lt;h2&gt;Chihuahua Puppies Health, Lineage &amp; Legal Compliance in Gandhipuram, Coimbatore&lt;/h2&gt;When purchasing purebred Chihuahua puppies in Gandhipuram's commercial center along 100 Feet Road and Cross Cut Road, confirming Kennel Club of India (KCI) pedigree registration and complete health clearances is vital. Prospective pet parents near Brookefields Mall and the main bus stand area should ensure their toy companions receive mandatory screening for congenital conditions like patellar luxation, hypoglycemia, and cardiac anomalies, along with timely core vaccinations and microchipping. Local pet owners must adhere to Coimbatore City Municipal Corporation regulations regarding domestic pet licensing and mandatory annual rabies inoculations. Guidelines set by the &lt;a href='https://awbi.gov.in/' target='_blank'&gt;Animal Welfare Board of India&lt;/a&gt; and the &lt;a href='https://dahd.nic.in/' target='_blank'&gt;Department of Animal Husbandry and Dairying&lt;/a&gt; further ensure that your puppy is ethically sourced, fully documented, and legally protected.</t>
  </si>
  <si>
    <t>Saibaba Colony, coimbatore</t>
  </si>
  <si>
    <t>Chihuahua Puppies for Sale in Saibaba Colony, Coimbatore</t>
  </si>
  <si>
    <t>Looking for Chihuahua puppies for sale in Saibaba Colony, Coimbatore? Connect with verified local breeders &amp; find your healthy purebred pup today!</t>
  </si>
  <si>
    <t>Chihuahua Puppies for Sale in Saibaba Colony</t>
  </si>
  <si>
    <t>Bringing home a vibrant Apple Head or Teacup Chihuahua in Saibaba Colony is now seamless and trustworthy. Our local directory links you with ethical breeders and verified kennels along Alagesan Road and Mettupalayam Road. Perfectly suited for apartment living near NSR Road or around the busy Sai Baba Temple precinct, these mini companions receive complete veterinary health checks, initial vaccinations, and clear KCI lineage records before entering your household. Browse verified litters near Thadagam Road, review authentic breeder credentials, and secure your healthy, purebred toy puppy today from trusted handlers across Saibaba Colony.</t>
  </si>
  <si>
    <t>&lt;h2&gt;Top Breeders and Pet Shops in Saibaba Colony, coimbatore for chihuahua puppies for sale&lt;/h2&gt;&lt;p&gt;Bringing home a healthy Chihuahua puppy in Saibaba Colony requires sourcing from verified local pet care clinics and registered breeder networks. Here is a curated directory serving NSR Road, Alagesan Road, and Mettupalayam Road.&lt;/p&gt;&lt;table&gt;&lt;tr&gt;&lt;th&gt;Business Name &amp; Specialty&lt;/th&gt;&lt;th&gt;Complete Verified NAP&lt;/th&gt;&lt;/tr&gt;&lt;tr&gt;&lt;td&gt;Cotton City Pet's Poly Clinic&lt;/td&gt;&lt;td&gt;Cotton City Pet's Poly Clinic, Alagesan Road, Saibaba Colony, Coimbatore, Tamil Nadu - 641011 | Phone: +91-98431-54321&lt;/td&gt;&lt;/tr&gt;&lt;tr&gt;&lt;td&gt;Mr n Mrs Pet (Saibaba Colony Network)&lt;/td&gt;&lt;td&gt;Mr n Mrs Pet, Verified Breeder Network &amp; Home Delivery, Saibaba Colony, Coimbatore, Tamil Nadu - 641011 | Phone: +91-8306-944-422 | Website: mrnmrspet.com&lt;/td&gt;&lt;/tr&gt;&lt;tr&gt;&lt;td&gt;Asia Pets (Regional Network Saibaba Colony)&lt;/td&gt;&lt;td&gt;Asia Pets, Servicing Saibaba Colony &amp; North Coimbatore | Phone: +91-95559-44924 | Website: asiapets.in&lt;/td&gt;&lt;/tr&gt;&lt;/table&gt;&lt;h3&gt;Local Buyer's Guide: Ethical Acquisition Tips for chihuahua puppies for sale in Saibaba Colony, coimbatore&lt;/h3&gt;&lt;p&gt;Always insist on KCI registration certificates and medical screening for toy breed vulnerabilities before finalizing a Chihuahua purchase in Saibaba Colony. Ensure the puppy is fully vaccinated, dewormed, and ethically raised in compliance with Animal Welfare Board of India guidelines.&lt;/p&gt;</t>
  </si>
  <si>
    <t>In Saibaba Colony's residential and commercial hubs along NSR Road, Alagesan Road, and Mettupalayam Road, local market costs for Chihuahua puppies typically average ₹20,000 to ₹52,000. Key quote variables such as Kennel Club of India registration, coat variation, and breeder service tiers directly alter final rate quotes. Regional cost drivers across this North Coimbatore zone push pet-quality estimate ranges from ₹18,000, while elite show-line bloodlines reach ₹65,000. Reserve your purebred puppy today.</t>
  </si>
  <si>
    <t>&lt;h2&gt;Chihuahua Puppies Health, Lineage &amp; Legal Compliance in Saibaba Colony, Coimbatore&lt;/h2&gt;When purchasing Chihuahua puppies in the Saibaba Colony locality of Coimbatore, verifying certified Kennel Club of India (KCI) pedigree registration alongside comprehensive veterinary health documentation is vital for confirming genuine toy breed bloodlines. Families and dog owners residing around NSR Road, Alagesan Road, and Mettupalayam Road should prioritize thorough health evaluations for common toy-breed conditions like patellar luxation, hypoglycemia, and cardiac anomalies, along with up-to-date core vaccination records. To maintain full legal compliance in Tamil Nadu, pet parents must adhere to Coimbatore City Municipal Corporation guidelines and registration norms, while supporting ethical breeding standards established by the &lt;a href='https://awbi.gov.in/' target='_blank'&gt;Animal Welfare Board of India&lt;/a&gt; and national policies outlined by the &lt;a href='https://dahd.nic.in/' target='_blank'&gt;Department of Animal Husbandry and Dairying&lt;/a&gt;.</t>
  </si>
  <si>
    <t>Peelamedu, coimbatore</t>
  </si>
  <si>
    <t>Chihuahua Puppies for Sale in Peelamedu, Coimbatore</t>
  </si>
  <si>
    <t>Looking for Chihuahua puppies for sale in Peelamedu, Coimbatore? Connect with verified local breeders and find your healthy purebred pup today!</t>
  </si>
  <si>
    <t>Finding healthy, KCI-registered Chihuahua puppies in Peelamedu’s bustling tech and educational core is now completely seamless. Our network links local dog lovers with verified ethical breeders around Avinashi Road, TIDEL Park, and Fun Republic Mall. Suited for modern apartment living near PSG College or transit via Coimbatore International Airport, these compact Apple Head and Teacup toy companions receive complete veterinary health checks and vaccination protocols. Examine active litters, verify bloodlines, and reserve your purebred puppy today from dependable handlers right here in Peelamedu.</t>
  </si>
  <si>
    <t>&lt;h2&gt;Top Breeders and Pet Shops in Peelamedu, coimbatore for chihuahua puppies for sale&lt;/h2&gt;&lt;p&gt;Finding a purebred Chihuahua puppy in Peelamedu's tech and educational corridor involves connecting with verified breeders and trusted local pet care centers. Below is a directory serving Avinashi Road, TIDEL Park, and Nava India Road.&lt;/p&gt;&lt;table&gt;&lt;tr&gt;&lt;th&gt;Business Name &amp; Specialty&lt;/th&gt;&lt;th&gt;Complete Verified NAP&lt;/th&gt;&lt;/tr&gt;&lt;tr&gt;&lt;td&gt;Selva Pet Clinic &amp; Care&lt;/td&gt;&lt;td&gt;Selva Pet Clinic &amp; Care, Sengaliappa Nagar, Peelamedu, Coimbatore, Tamil Nadu - 641004 | Phone: +91-98940-78785&lt;/td&gt;&lt;/tr&gt;&lt;tr&gt;&lt;td&gt;Mr n Mrs Pet (Peelamedu Breeder Network)&lt;/td&gt;&lt;td&gt;Mr n Mrs Pet, Registered Breeder Network, Peelamedu, Coimbatore, Tamil Nadu - 641004 | Phone: +91-8306-944-422 | Website: mrnmrspet.com&lt;/td&gt;&lt;/tr&gt;&lt;tr&gt;&lt;td&gt;Asia Pets (Peelamedu Regional Network)&lt;/td&gt;&lt;td&gt;Asia Pets, Regional Breeder Network Serving Peelamedu &amp; Avinashi Road | Phone: +91-95559-44924 | Website: asiapets.in&lt;/td&gt;&lt;/tr&gt;&lt;/table&gt;&lt;h3&gt;Local Buyer's Guide: Ethical Acquisition Tips for chihuahua puppies for sale in Peelamedu, coimbatore&lt;/h3&gt;&lt;p&gt;Ensure your Chihuahua puppy in Peelamedu comes with verified KCI pedigree documentation and comprehensive veterinary health clearances. Verify that the breeder follows ethical standards, provides proper indoor climate control guidance, and supports local municipal pet registration requirements.&lt;/p&gt;</t>
  </si>
  <si>
    <t>In Peelamedu’s tech and commercial belt along Avinashi Road and near TIDEL Park, local market costs for Chihuahua puppies generally average ₹22,000 to ₹55,000. Key quote variables, such as KCI certification, coat variety, and breeder service tiers, directly shape overall commercial rates. Strong demand from tech professionals near Fun Republic Mall acts as a primary regional driver, with pet-quality estimate ranges starting around ₹20,000 and show-line champions reaching ₹68,000. Reserve your purebred puppy today.</t>
  </si>
  <si>
    <t>&lt;h2&gt;Chihuahua Puppies Health, Lineage &amp; Legal Compliance in Peelamedu, Coimbatore&lt;/h2&gt;Prospective dog parents near Avinashi Road and TIDEL Park in Peelamedu must prioritize certified Kennel Club of India (KCI) pedigree registration to guarantee purebred lineage and prevent unethical breeding practices. Given the compact size of Chihuahua puppies, early veterinary screenings for congenital conditions such as patellar luxation, open fontanelles, and hypoglycemia are vital alongside routine core vaccinations. Local owners must adhere to Coimbatore City Municipal Corporation guidelines regarding pet registration, mandatory anti-rabies immunizations, and responsible sanitation practices in residential complexes. Aligning with regulatory standards issued by the &lt;a href='https://dahd.nic.in/' target='_blank'&gt;Department of Animal Husbandry and Dairying&lt;/a&gt; and rules supervised by the &lt;a href='https://awbi.gov.in/' target='_blank'&gt;Animal Welfare Board of India&lt;/a&gt; ensures your companion is ethically sourced and legally compliant in Tamil Nadu.</t>
  </si>
  <si>
    <t>Singanallur, coimbatore</t>
  </si>
  <si>
    <t>Chihuahua Puppies for Sale in Singanallur, Coimbatore</t>
  </si>
  <si>
    <t>Looking for Chihuahua puppies for sale in Singanallur, Coimbatore? Browse verified local breeders and find your healthy purebred pup today!</t>
  </si>
  <si>
    <t>Chihuahua Puppies for Sale in Singanallur</t>
  </si>
  <si>
    <t>Bringing a healthy, KCI-registered Chihuahua puppy into your Singanallur home along the busy Trichy Road arterial hub has never been more straightforward. Our verified local network connects pet lovers across eastern Coimbatore—from quiet residential pockets near Singanallur Lake to bustling transit spots around Kamarajar Road—directly with ethical breeders and trusted pet experts. Perfect for modern, compact living near the Singanallur Bus Terminus, these spirited Apple Head and Teacup toy companions receive comprehensive veterinary health checks and complete initial vaccination schedules. Browse active local litters, inspect verified lineage credentials, and reserve your small, affectionate purebred pup today right here in Singanallur.</t>
  </si>
  <si>
    <t>&lt;h2&gt;Top Breeders and Pet Shops in Singanallur, Coimbatore for Chihuahua Puppies&lt;/h2&gt;&lt;p&gt;If you are looking for Chihuahua puppies in Singanallur, Coimbatore, connecting with verified local pet shops, kennels, and pet care centers along Trichy Road ensures a smooth adoption or purchase process.&lt;/p&gt;&lt;ul&gt;&lt;li&gt;&lt;strong&gt;Royal Pets:&lt;/strong&gt; Trichy Road, Singanallur, Coimbatore - 641045&lt;/li&gt;&lt;li&gt;&lt;strong&gt;Priya Pet Shop:&lt;/strong&gt; Trichy Road, Singanallur, Coimbatore - 641005&lt;/li&gt;&lt;li&gt;&lt;strong&gt;New Singai Pets:&lt;/strong&gt; Trichy Road, Singanallur, Coimbatore - 641005&lt;/li&gt;&lt;li&gt;&lt;strong&gt;Jen Pet Clinic:&lt;/strong&gt; 15, Sarathi Nagar, Nanda Nagar, Opp. Santhi Petrol Bunk, Singanallur, Coimbatore - 641005&lt;/li&gt;&lt;/ul&gt;&lt;h3&gt;Ethical Acquisition Guide for Chihuahua Puppies&lt;/h3&gt;&lt;p&gt;When searching for chihuahua puppies for sale in Singanallur, always verify KCI registration, request complete vaccination and health records, and inspect the breeding environment in person to ensure ethical care practices.&lt;/p&gt;</t>
  </si>
  <si>
    <t>In Singanallur’s commercial hub along Trichy Road and near Kamarajar Road, local market costs for Chihuahua puppies typically span ₹22,000 to ₹55,000. Key quote variables such as Kennel Club of India certification, coat variety, and breeder service tiers directly shape overall commercial rates. Strong eastern Coimbatore municipal demand near the bus terminus acts as a primary regional cost driver, with pet-quality estimate ranges starting around ₹20,000 and champion show-line bloodlines reaching ₹68,000. Reserve your purebred puppy today.</t>
  </si>
  <si>
    <t>&lt;h2&gt;Chihuahua Puppies Health, Lineage &amp; Legal Compliance in Singanallur, Coimbatore&lt;/h2&gt;When selecting Chihuahua puppies near Trichy Road and the Singanallur Bus Terminus, verifying official Kennel Club of India (KCI) pedigree registration and comprehensive veterinary health checks is essential to guarantee purebred lineage and prevent hereditary conditions such as hypoglycemia and patellar luxation. Dog owners across eastern Coimbatore must adhere to local pet registration guidelines set by the Coimbatore City Municipal Corporation alongside welfare standards maintained by the &lt;a href='https://awbi.gov.in/' target='_blank'&gt;Animal Welfare Board of India&lt;/a&gt; and the &lt;a href='https://dahd.nic.in/' target='_blank'&gt;Department of Animal Husbandry and Dairying&lt;/a&gt;, ensuring mandatory anti-rabies immunizations, microchipping, and ethical breeding standards for your toy companion.</t>
  </si>
  <si>
    <t>Ramanathapuram, coimbatore</t>
  </si>
  <si>
    <t>Chihuahua Puppies for Sale in Ramanathapuram, Coimbatore</t>
  </si>
  <si>
    <t>Looking for Chihuahua puppies for sale in Ramanathapuram, Coimbatore? Browse verified local breeders and find your healthy purebred pup today!</t>
  </si>
  <si>
    <t>Chihuahua Puppies for Sale in Ramanathapuram</t>
  </si>
  <si>
    <t>Finding healthy, KCI-registered Chihuahua puppies in Ramanathapuram, Coimbatore has never been more straightforward. Positioned seamlessly along Trichy Road near Nanjundapuram Road and Sungam Bypass, our platform connects prospective pet parents directly with verified local breeders and ethical kennels. Perfect for apartment living near Race Course and Puliakulam, these spirited Apple Head and Teacup Chihuahua pups undergo comprehensive veterinary health checks and vaccination protocols before entering your home. Browse active litters, evaluate authentic lineage records, and secure your miniature purebred companion today through trusted handlers right here in Ramanathapuram.</t>
  </si>
  <si>
    <t>&lt;h2&gt;Top Breeders and Pet Shops in Ramanathapuram, Coimbatore for Chihuahua Puppies&lt;/h2&gt;&lt;p&gt;Finding chihuahua puppies for sale in Ramanathapuram, Coimbatore requires dealing with reliable pet hubs and veterinary care centers around Trichy Road and Pankaja Mill Road.&lt;/p&gt;&lt;ul&gt;&lt;li&gt;&lt;strong&gt;Pets Veterinary Clinic:&lt;/strong&gt; 88, Pankaja Mill Road, Ramanathapuram, Coimbatore - 641045 | Phone: +91-98422-15014&lt;/li&gt;&lt;li&gt;&lt;strong&gt;Sri Oscar Aquarium &amp; Pets:&lt;/strong&gt; Trichy Road, Ramanathapuram, Coimbatore - 641045&lt;/li&gt;&lt;li&gt;&lt;strong&gt;Vicky Pets:&lt;/strong&gt; Ramanathapuram, Coimbatore - 641045&lt;/li&gt;&lt;li&gt;&lt;strong&gt;Skm Aquarium &amp; Pets:&lt;/strong&gt; Ramanathapuram, Coimbatore - 641045&lt;/li&gt;&lt;/ul&gt;&lt;h3&gt;Ethical Acquisition Guide for Chihuahua Puppies&lt;/h3&gt;&lt;p&gt;Prioritize verified kennels that offer microchipped chihuahua puppies for sale, insist on seeing the mother dog, and confirm that the puppy has received initial vaccinations and deworming before bringing them home to Ramanathapuram.&lt;/p&gt;</t>
  </si>
  <si>
    <t>Along the Trichy Road commercial corridor and near Nanjundapuram Road in Ramanathapuram, local market costs for Chihuahua puppies generally span ₹22,000 to ₹55,000. Key quote variables such as KCI pedigree papers, coat types, and breeder service tiers significantly influence local commercial tariff factors. Strong residential demand near Race Course and Sungam Bypass drives regional price drivers, pushing pet-quality estimate ranges from ₹20,000 up to ₹68,000 for elite show-line bloodlines. Reserve your purebred pup today.</t>
  </si>
  <si>
    <t>&lt;h2&gt;Chihuahua Puppies Health, Lineage &amp; Legal Compliance in Ramanathapuram, Coimbatore&lt;/h2&gt;When acquiring Chihuahua puppies along the Trichy Road corridor or near Nanjundapuram Road in Ramanathapuram, verifying authentic Kennel Club of India (KCI) pedigree certificates and complete veterinary health evaluations is vital. Pet owners residing near Sungam Bypass and Race Course should confirm early medical screenings for toy breed vulnerabilities including hypoglycemia, open fontanelles, and patellar luxation, alongside timely anti-rabies immunizations. Local dog guardians must adhere to animal management standards enforced by the Coimbatore City Municipal Corporation, ensuring mandatory pet registration and routine health certifications. Aligning with guidelines established by the &lt;a href='https://dahd.nic.in/' target='_blank'&gt;Department of Animal Husbandry and Dairying&lt;/a&gt; and the &lt;a href='https://awbi.gov.in/' target='_blank'&gt;Animal Welfare Board of India&lt;/a&gt; helps guarantee that your purebred companion is legally registered, ethically bred, and properly vaccinated.</t>
  </si>
  <si>
    <t>Saravanampatti, coimbatore</t>
  </si>
  <si>
    <t>Chihuahua Puppies for Sale in Saravanampatti, Coimbatore</t>
  </si>
  <si>
    <t>Looking for Chihuahua puppies for sale in Saravanampatti, Coimbatore? Browse verified local breeders and find your healthy purebred pup today!</t>
  </si>
  <si>
    <t>Chihuahua Puppies for Sale in Saravanampatti</t>
  </si>
  <si>
    <t>Finding a healthy, KCI-registered Chihuahua puppy in Coimbatore’s IT hub of Saravanampatti is now direct and hassle-free. Our verified network connects residents living along Sathy Road, Keeranatham Road, and near CHIL SEZ directly with responsible breeders offering vaccinated Apple Head and Teacup Chihuahuas. Perfectly adapted for modern apartment living near Prozone Mall and local tech parks, these compact toy companions undergo full veterinary checks and health certifications before joining your home. Explore authentic listings near Thudiyalur Road today, review verified lineage records, and secure your pocket-sized purebred pup from trusted local handlers right here in Saravanampatti.</t>
  </si>
  <si>
    <t>&lt;h2&gt;Top Breeders and Pet Shops in Saravanampatti, Coimbatore for Chihuahua Puppies&lt;/h2&gt;&lt;p&gt;Saravanampatti offers excellent options for prospective dog parents searching for chihuahua puppies for sale near IT corridors, Sathy Road, and Keeranatham Road.&lt;/p&gt;&lt;ul&gt;&lt;li&gt;&lt;strong&gt;Little Gangster's Pets &amp; Kennel:&lt;/strong&gt; Thudiyalur Road, Saravanampatti, Coimbatore - 641035&lt;/li&gt;&lt;li&gt;&lt;strong&gt;Natural Dog Farms:&lt;/strong&gt; No. 5, Revenue Nagar, Saravanampatti, Coimbatore - 641035 | Phone: +91-73059-73231&lt;/li&gt;&lt;li&gt;&lt;strong&gt;Dream Pets Boarding Center:&lt;/strong&gt; Keeranatham Road, Saravanampatti, Coimbatore - 641035&lt;/li&gt;&lt;li&gt;&lt;strong&gt;Sana Multispeciality Pet Hospital &amp; Care:&lt;/strong&gt; Near Prozone Mall, Saravanampatti, Coimbatore - 641035&lt;/li&gt;&lt;/ul&gt;&lt;h3&gt;Ethical Acquisition Guide for Chihuahua Puppies&lt;/h3&gt;&lt;p&gt;When selecting chihuahua puppies for sale in Saravanampatti, ensure the breeder follows proper legal guidelines, provides genuine lineage certificates, and avoids overbreeding tiny toy breeds.&lt;/p&gt;</t>
  </si>
  <si>
    <t>In Saravanampatti’s bustling IT corridor along Sathy Road and Keeranatham Road near CHIL SEZ, local market costs for Chihuahua puppies typically span ₹22,000 to ₹55,000. Tech-driven local market demand acts as a major regional cost driver across this northern Coimbatore municipal zone. Key quote variables include KCI certification, coat variety, and breeder service tiers. Standard pet-quality estimate ranges start near ₹20,000, while show-line bloodlines reach ₹68,000. Reserve your verified puppy today near Prozone Mall.</t>
  </si>
  <si>
    <t>&lt;h2&gt;Chihuahua Puppies Health, Lineage &amp; Legal Compliance in Saravanampatti, Coimbatore&lt;/h2&gt;When bringing home Chihuahua puppies in Coimbatore’s IT hub of Saravanampatti, validating official Kennel Club of India (KCI) ancestral paperwork alongside complete veterinary health clearances is vital. Residents around Sathy Road, Keeranatham Road, and near CHIL SEZ should ensure toy breed litters undergo thorough health checks for common conditions like patellar luxation, hypoglycemia, and dental crowding before adoption. In addition to verified bloodlines, pet owners must comply with local sanitation and pet ownership regulations enforced by the Coimbatore City Municipal Corporation, including routine anti-rabies immunizations and proper animal care protocols. Following welfare guidelines established by the &lt;a href='https://awbi.gov.in/' target='_blank'&gt;Animal Welfare Board of India&lt;/a&gt; and the &lt;a href='https://dahd.nic.in/' target='_blank'&gt;Department of Animal Husbandry and Dairying&lt;/a&gt; ensures your new canine companion remains healthy, purebred, and fully compliant with state regulations.</t>
  </si>
  <si>
    <t>Vadavalli, coimbatore</t>
  </si>
  <si>
    <t>Chihuahua Puppies for Sale in Vadavalli, Coimbatore</t>
  </si>
  <si>
    <t>Looking for Chihuahua puppies for sale in Vadavalli, Coimbatore? Browse verified local breeders and find your healthy purebred pup today!</t>
  </si>
  <si>
    <t>Finding healthy, KCI-registered Chihuahua puppies in the tranquil Western Ghats foothill neighborhood of Vadavalli is now completely seamless. Our verified network connects local dog enthusiasts along Marudhamalai Road and near the Vadavalli Bus Stand directly with ethical breeders offering vaccinated Apple Head and Teacup toy companions. Ideally suited for peaceful residential living near Maharani Avenue or close to Bharathiar University, each purebred puppy comes with complete health checks and lineage credentials. Explore active local litters today, review authentic veterinary records, and reserve your small, affectionate canine companion from trusted handlers right here in Vadavalli.</t>
  </si>
  <si>
    <t>&lt;h2&gt;Top Breeders and Pet Shops in Vadavalli, Coimbatore for Chihuahua Puppies&lt;/h2&gt;&lt;p&gt;Residents in Vadavalli looking for chihuahua puppies for sale can find reputable pet supply centers, breeders, and pet clinics along Marudhamalai Main Road.&lt;/p&gt;&lt;ul&gt;&lt;li&gt;&lt;strong&gt;RK Pets:&lt;/strong&gt; Shop No. 14A, Marudhamalai Main Road, Vadavalli, Coimbatore - 641041&lt;/li&gt;&lt;li&gt;&lt;strong&gt;PetsandVets Veterinary Clinic:&lt;/strong&gt; 18, Swathi Complex, Marudhamalai Main Road, New Thillai Nagar, Vadavalli, Coimbatore - 641041&lt;/li&gt;&lt;li&gt;&lt;strong&gt;S N Pet Clinic &amp; Care:&lt;/strong&gt; 1-A, Marudhamalai Road, Thirumurugan Nagar, Vadavalli, Coimbatore - 641041&lt;/li&gt;&lt;li&gt;&lt;strong&gt;Jeevan Pets:&lt;/strong&gt; Marudhamalai Road, Vadavalli, Coimbatore - 641046&lt;/li&gt;&lt;/ul&gt;&lt;h3&gt;Ethical Acquisition Guide for Chihuahua Puppies&lt;/h3&gt;&lt;p&gt;Ensure that any seller offering chihuahua puppies for sale in Vadavalli adheres to CCMC guidelines, maintains proper hygiene standards, and offers full medical transparency before purchase.&lt;/p&gt;</t>
  </si>
  <si>
    <t>In Vadavalli's tranquil foothill corridors along Marudhamalai Road and near Maharani Avenue, local market costs for Chihuahua puppies generally average ₹20,000 to ₹52,000. Key quote variables including KCI pedigree papers, coat variety, and breeder service tiers dictate local commercial tariff factors. Growing residential demand around Bharathiar University acts as a primary cost driver, pushing pet-quality estimate ranges from ₹18,000, while champion show-line bloodlines reach ₹65,000. Reserve your verified puppy today.</t>
  </si>
  <si>
    <t>&lt;h2&gt;Chihuahua Puppies Health, Lineage &amp; Legal Compliance in Vadavalli, Coimbatore&lt;/h2&gt;When purchasing Chihuahua puppies in the Western Ghats foothill area of Vadavalli, verifying microchipped Kennel Club of India (KCI) pedigree certificates and complete veterinary clearances is critical for confirming purebred ancestry. Dog lovers along Marudhamalai Road, near the Vadavalli Bus Stand, and around Bharathiar University should prioritize early health screenings for breed-specific vulnerabilities such as patellar luxation, hypoglycemia, and cardiac abnormalities, alongside receiving timely core vaccinations. In accordance with Coimbatore City Municipal Corporation guidelines and national welfare standards outlined by the &lt;a href='https://awbi.gov.in/' target='_blank'&gt;Animal Welfare Board of India&lt;/a&gt;, pet owners across Maharani Avenue must maintain up-to-date rabies vaccination records and register their dogs locally to ensure ethical standards and full legal compliance.</t>
  </si>
  <si>
    <t>Ukkadam, coimbatore</t>
  </si>
  <si>
    <t>Chihuahua Puppies for Sale in Ukkadam, Coimbatore</t>
  </si>
  <si>
    <t>Looking for Chihuahua puppies for sale in Ukkadam, Coimbatore? Browse verified local breeders and find your healthy purebred pup today!</t>
  </si>
  <si>
    <t>Navigating the vibrant center of South Coimbatore near the busy Ukkadam Bus Terminus and scenic Valankulam Lake to secure a healthy Chihuahua puppy requires dependable local expertise. Our verified directory links pet lovers around Big Bazar Street and Sungam Bypass Road directly with ethical breeders offering KCI-registered Apple Head and Teacup Chihuahuas. Perfectly suited for compact apartment living in Town Hall and neighboring residential enclaves, each purebred toy companion arrives fully vaccinated with transparent health records and verified lineage. Browse active listings across Ukkadam today to reserve your affectionate miniature canine from reputable local handlers.</t>
  </si>
  <si>
    <t>&lt;h2&gt;Top Breeders and Pet Shops in Ukkadam, Coimbatore for Chihuahua Puppies&lt;/h2&gt;&lt;p&gt;For pet enthusiasts seeking chihuahua puppies for sale in Ukkadam, Coimbatore, several established kennels and specialized pet shops serve the local area around Perur Bypass Road and Town Hall.&lt;/p&gt;&lt;ul&gt;&lt;li&gt;&lt;strong&gt;Mohamed Issak Pet Shop:&lt;/strong&gt; Shop No. 30 &amp; 50, Coimbatore Corporation Fish Market, Ukkadam to Perur Bypass Road, Ukkadam, Coimbatore - 641001 | Phone: +91-93631-17870&lt;/li&gt;&lt;li&gt;&lt;strong&gt;Manju Pet Care Boarding Centre and Kennel:&lt;/strong&gt; Veeravanji Nagar, Ukkadam, Coimbatore - 641001&lt;/li&gt;&lt;li&gt;&lt;strong&gt;A Y Aviary &amp; Farm:&lt;/strong&gt; G.M. Nagar, Ukkadam, Coimbatore - 641001&lt;/li&gt;&lt;li&gt;&lt;strong&gt;Bow Wow Puppies:&lt;/strong&gt; Thiyagikumaran Street, Town Hall, Ukkadam Area, Coimbatore - 641001&lt;/li&gt;&lt;/ul&gt;&lt;h3&gt;Ethical Acquisition Guide for Chihuahua Puppies&lt;/h3&gt;&lt;p&gt;When inquiring about chihuahua puppies for sale in Ukkadam, insist on reviewing health checks for hereditary conditions like hypoglycemia and patellar luxation, and avoid unverified backyard sellers.&lt;/p&gt;</t>
  </si>
  <si>
    <t>In Ukkadam's central commercial corridors around Big Bazar Street and the Ukkadam Bus Terminus, local market costs for Chihuahua puppies generally average ₹20,000 to ₹52,000. Key quote variables including KCI registration status, coat variation, and breeder service tiers directly shape overall commercial rates. Steady residential demand near Valankulam Lake and Town Hall acts as a primary commercial tariff factor, pushing basic pet-quality estimate ranges from ₹18,000 to ₹65,000 for show-line bloodlines. Reserve your purebred puppy today.</t>
  </si>
  <si>
    <t>&lt;h2&gt;Chihuahua Puppies Health, Lineage &amp; Legal Compliance in Ukkadam, Coimbatore&lt;/h2&gt;When purchasing Chihuahua puppies around Ukkadam's bustling Big Bazar Street and Valankulam Lake precinct, verifying official Kennel Club of India (KCI) ancestral certificates alongside thorough veterinary health records is essential. Families residing near Sungam Bypass Road and Town Hall must ensure their toy breed litters undergo early screening for health concerns like patellar luxation, hypoglycemia, and dental crowding, alongside scheduled core immunizations. Local dog owners must strictly observe Coimbatore City Municipal Corporation pet governance and Tamil Nadu state regulations regarding domestic canine licensing and mandatory rabies vaccinations. Aligning with animal welfare guidelines established by the &lt;a href='https://awbi.gov.in/' target='_blank'&gt;Animal Welfare Board of India&lt;/a&gt; and the &lt;a href='https://dahd.nic.in/' target='_blank'&gt;Department of Animal Husbandry and Dairying&lt;/a&gt; guarantees that your pocket-sized pet is legally compliant, microchipped, and ethically bred.</t>
  </si>
  <si>
    <t>Kovaipudur, coimbatore</t>
  </si>
  <si>
    <t>Chihuahua Puppies for Sale in Kovaipudur, Coimbatore</t>
  </si>
  <si>
    <t>Looking for Chihuahua puppies for sale in Kovaipudur, Coimbatore? Browse verified local breeders and find your healthy purebred pup today!</t>
  </si>
  <si>
    <t>Chihuahua Puppies for Sale in Kovaipudur</t>
  </si>
  <si>
    <t>Bringing a charming Apple Head or Teacup Chihuahua into your home along the breezy foothills of Kovaipudur is now remarkably straightforward. Our network connects discerning pet parents across Mahatma Gandhi Road and near the Infant Jesus Shrine directly with ethical breeders and verified local handlers. Ideally suited for indoor living along the Palakkad Main Road transit corridor, these compact toy companions arrive fully vaccinated with comprehensive veterinary clearances and authentic KCI lineage documentation. Explore active litters near Kovaipudur Junction today, review health certifications, and safely reserve your healthy, affectionate purebred puppy from trusted nearby kennels.</t>
  </si>
  <si>
    <t>&lt;h2&gt;Top Breeders and Pet Shops in Kovaipudur, Coimbatore for Chihuahua Puppies&lt;/h2&gt;&lt;p&gt;Kovaipudur offers trusted options for dog buyers searching for chihuahua puppies for sale, with key pet care hubs located along Mahatma Gandhi Road and Bharathi Nagar.&lt;/p&gt;&lt;ul&gt;&lt;li&gt;&lt;strong&gt;Sri Saravana Pets and Vets:&lt;/strong&gt; U128, Bharathi Nagar, Kovaipudur, Coimbatore - 641042 | Phone: +91-96773-89136&lt;/li&gt;&lt;li&gt;&lt;strong&gt;R K Pets:&lt;/strong&gt; Mahatma Gandhi Road, Kovaipudur, Coimbatore - 641042&lt;/li&gt;&lt;li&gt;&lt;strong&gt;Doggy Doos:&lt;/strong&gt; A Block, Kovaipudur, Coimbatore - 641042&lt;/li&gt;&lt;li&gt;&lt;strong&gt;Vicky Pets And Passion:&lt;/strong&gt; Kovaipudur, Coimbatore - 641042&lt;/li&gt;&lt;/ul&gt;&lt;h3&gt;Ethical Acquisition Guide for Chihuahua Puppies&lt;/h3&gt;&lt;p&gt;Always verify KCI registration credentials, check vaccination history, and ensure proper socialization for chihuahua puppies for sale in Kovaipudur prior to final ownership transfer.&lt;/p&gt;</t>
  </si>
  <si>
    <t>In Kovaipudur’s serene foothill zone along Mahatma Gandhi Road and Palakkad Main Road, local market costs for Chihuahua puppies typically average ₹20,000 to ₹52,000. Key quote variables such as KCI pedigree documentation, coat variation, and breeder service tiers directly shape commercial tariff factors across South-West Coimbatore. Steady suburban demand near Infant Jesus Shrine drives regional estimate ranges, with pet-quality rates starting near ₹18,000 and champion show-line bloodlines reaching ₹65,000. Reserve your purebred puppy today.</t>
  </si>
  <si>
    <t>&lt;h2&gt;Chihuahua Puppies Health, Lineage &amp; Legal Compliance in Kovaipudur, Coimbatore&lt;/h2&gt;When selecting Chihuahua puppies along the breezy foothill settlement of Kovaipudur, confirming microchipped Kennel Club of India (KCI) pedigree certificates alongside comprehensive veterinary records is vital for ensuring true toy breed ancestry. Families residing near Mahatma Gandhi Road, Palakkad Main Road, and the Infant Jesus Shrine precinct should insist on clinical screenings for breed-specific vulnerabilities such as patellar luxation, hypoglycemia, and open fontanelles, alongside a complete schedule of core vaccinations. To maintain full legal compliance within South-West Coimbatore, local dog owners must observe Coimbatore City Municipal Corporation pet governance standards and state welfare directives supervised by the &lt;a href='https://awbi.gov.in/' target='_blank'&gt;Animal Welfare Board of India&lt;/a&gt;, ensuring valid anti-rabies immunizations and responsible pet ownership in residential complexes.</t>
  </si>
  <si>
    <t>yercaud, Tamilnadu</t>
  </si>
  <si>
    <t>Chihuahua Puppies for Sale in Yercaud, Tamil Nadu</t>
  </si>
  <si>
    <t>Looking for Chihuahua puppies for sale in Yercaud, Tamil Nadu? Connect with verified local breeders and bring home your healthy purebred pup today!</t>
  </si>
  <si>
    <t>Chihuahua Puppies for Sale in Yercaud</t>
  </si>
  <si>
    <t>Securing a healthy, KCI-registered Chihuahua puppy atop the scenic Shevaroy Hills of Yercaud is now effortless and transparent. Our curated platform connects pet lovers across the lake precinct, Lady's Seat road, and quiet estates along the 32-km Loop Road directly with verified, ethical breeders. Perfectly suited for cozy mountain living near Anna Park or simple weekend drives down the 20-hairpin ghat road to Salem, these spirited Apple Head and Teacup companions receive complete veterinary health checks and essential vaccinations. Inspect verified bloodline records, connect with reputable local handlers, and safely reserve your ideal toy breed puppy in Yercaud today.</t>
  </si>
  <si>
    <t>&lt;h2&gt;Top Breeders and Pet Shops in Yercaud, Tamilnadu for Chihuahua Puppies&lt;/h2&gt;&lt;p&gt;Finding chihuahua puppies for sale in Yercaud involves connecting with trusted pet stores, breeders, and care hubs across the Shevaroy Hills region and nearby Salem transit corridors.&lt;/p&gt;&lt;ul&gt;&lt;li&gt;&lt;strong&gt;Sun Pet Farm:&lt;/strong&gt; Steel Plant Main Road, Suramangalam, Salem, Tamil Nadu - 636005&lt;/li&gt;&lt;li&gt;&lt;strong&gt;Bismi Pet Shop:&lt;/strong&gt; Opposite IMA Hall, Five Road, Alagapuram, Salem, Tamil Nadu - 636004&lt;/li&gt;&lt;li&gt;&lt;strong&gt;Cloningaqua Pets:&lt;/strong&gt; ATC Nagar Road, Gorimedu, Salem, Tamil Nadu - 636008&lt;/li&gt;&lt;li&gt;&lt;strong&gt;Nearby Pets India:&lt;/strong&gt; Serving Yercaud &amp; Shevaroy Loop Road, Yercaud, Tamil Nadu - 636601&lt;/li&gt;&lt;/ul&gt;&lt;h3&gt;Ethical Acquisition Guide for Chihuahua Puppies&lt;/h3&gt;&lt;p&gt;When looking for chihuahua puppies for sale in Yercaud, ensure that breeders provide authentic KCI certification, complete health checkups, and vaccination records suitable for high-altitude thermal care.&lt;/p&gt;</t>
  </si>
  <si>
    <t>In Yercaud’s scenic hill station precincts near the Shevaroy Lake loop and Lady's Seat road, local market costs for Chihuahua puppies typically average ₹25,000 to ₹60,000. Mountain transit logistics up the 20-hairpin Salem ghat road serve as primary regional cost drivers. Essential quote variables such as Kennel Club of India pedigree registration, coat variations, and specialized breeder service tiers shape local commercial tariff factors, with estimate ranges for pet-quality pups beginning around ₹22,000. Reserve your verified toy puppy today.</t>
  </si>
  <si>
    <t>&lt;h2&gt;Chihuahua Puppies Health, Lineage &amp; Legal Compliance in Yercaud, Tamilnadu&lt;/h2&gt;When purchasing purebred Chihuahua puppies in the hill town of Yercaud, establishing authentic Kennel Club of India (KCI) ancestral paperwork alongside complete veterinary health clearances is vital. Families residing around the Shevaroy Lake loop, Lady's Seat road, and Anna Park should ensure toy breed litters undergo careful medical checks for cold-weather sensitivities, patellar luxation, and hypoglycemia, along with maintaining up-to-date core immunization records. In compliance with Yercaud Town Panchayat regulations and Tamil Nadu animal welfare governance framed under the &lt;a href='https://awbi.gov.in/' target='_blank'&gt;Animal Welfare Board of India&lt;/a&gt;, dog owners in the Shevaroy Hills must secure mandatory anti-rabies vaccination certifications and maintain ethical standards for domestic pet ownership.</t>
  </si>
  <si>
    <t>kanyakumari, Tamilnadu</t>
  </si>
  <si>
    <t>Chihuahua Puppies for Sale in Kanyakumari, Tamilnadu</t>
  </si>
  <si>
    <t>Looking for Chihuahua puppies for sale in Kanyakumari, Tamilnadu? Connect with verified local breeders and find your healthy purebred pup today!</t>
  </si>
  <si>
    <t>Chihuahua Puppies for Sale in Kanyakumari</t>
  </si>
  <si>
    <t>Acquiring a healthy, KCI-registered Chihuahua puppy near India’s southernmost tip in Kanyakumari is now remarkably simple and transparent. Our network connects local dog lovers across Nagercoil Highway, Vivekananda Rock Memorial surroundings, and Sunset View Point residential pockets directly with ethical breeders and verified pet handlers. Perfectly adapted for compact coastal home environments, these spirited Apple Head and Teacup toy companions receive thorough veterinary health evaluations, essential initial vaccinations, and certified bloodline documentation. Browse verified local litters along the NH 66 corridor today, inspect complete health clearances, and reserve your affectionate, purebred miniature puppy with total peace of mind right here in Kanyakumari.</t>
  </si>
  <si>
    <t>&lt;h2&gt;Top Breeders and Pet Shops in Kanyakumari, Tamilnadu for Chihuahua Puppies&lt;/h2&gt;&lt;p&gt;Prospective pet parents seeking chihuahua puppies for sale in Kanyakumari can explore top-rated pet hubs, kennels, and care centers along the NH 66 corridor and nearby Nagercoil.&lt;/p&gt;&lt;ul&gt;&lt;li&gt;&lt;strong&gt;Puppy Factory:&lt;/strong&gt; Ganesapuram Road, Chidambara Nagar, Nagercoil, Kanyakumari District, Tamil Nadu - 629001&lt;/li&gt;&lt;li&gt;&lt;strong&gt;N.A.S Pets World:&lt;/strong&gt; Asambu Road, Vadasery, Nagercoil, Kanyakumari District, Tamil Nadu - 629001&lt;/li&gt;&lt;li&gt;&lt;strong&gt;Guru Kennel:&lt;/strong&gt; MS Road, Vadasery, Nagercoil, Kanyakumari District, Tamil Nadu - 629001&lt;/li&gt;&lt;li&gt;&lt;strong&gt;Nanba Kennels:&lt;/strong&gt; Kattimancode, Kanyakumari District, Tamil Nadu - 629806&lt;/li&gt;&lt;/ul&gt;&lt;h3&gt;Ethical Acquisition Guide for Chihuahua Puppies&lt;/h3&gt;&lt;p&gt;Always inspect vaccination passports, request live video calls or physical farm visits, and verify purebred lineage before acquiring chihuahua puppies for sale in Kanyakumari.&lt;/p&gt;</t>
  </si>
  <si>
    <t>Along Kanyakumari’s active NH 66 corridor and Nagercoil Highway commercial belts, local market costs for Chihuahua puppies typically span ₹60,000 to ₹2,00,000. Key quote variables including KCI paper verification, coat variations, and specialized breeder service tiers heavily influence commercial tariff factors. High coastal demand drives estimate ranges, starting around ₹60,000 for standard pet-quality companions and extending up to ₹2,00,000 for elite champion bloodlines. Reserve your verified toy puppy near Sunset View Point today for competitive local rates.</t>
  </si>
  <si>
    <t>&lt;h2&gt;Chihuahua Puppies Health, Lineage &amp; Legal Compliance in Kanyakumari, Tamil Nadu&lt;/h2&gt;When purchasing Chihuahua puppies near India's southern tip in Kanyakumari, validating microchipped Kennel Club of India (KCI) ancestral paperwork alongside complete veterinary health clearances is vital to ensure purebred pedigree. Prospective dog parents residing around Nagercoil Highway, Vivekananda Rock Memorial surroundings, and Sunset View Point should ensure toy breed litters receive early clinical screenings for breed-specific concerns such as patellar luxation, open fontanelles, and hypoglycemia, along with up-to-date core immunization records. In compliance with coastal Tamil Nadu local body sanitation mandates and legal welfare frameworks set by the &lt;a href='https://awbi.gov.in/' target='_blank'&gt;Animal Welfare Board of India&lt;/a&gt;, pet owners along the NH 66 corridor must maintain compulsory anti-rabies vaccination certifications and adhere to responsible urban pet keeping standards.</t>
  </si>
  <si>
    <t>pondicherry</t>
  </si>
  <si>
    <t>Chihuahua Puppies for Sale in Pondicherry</t>
  </si>
  <si>
    <t>Looking for Chihuahua puppies for sale in Pondicherry? Connect with verified local breeders and find your healthy purebred pup today!</t>
  </si>
  <si>
    <t>Adopting a purebred Chihuahua puppy in coastal Pondicherry is now completely effortless and secure. Our trusted network connects pet lovers across White Town, Heritage Town, and Lawspet directly with ethical breeders and verified local kennels near Beach Road, Goubert Avenue, and the ECR corridor. Perfect for relaxed villa living or compact apartments near Auroville and Promenade Beach, these healthy, KCI-registered Apple Head and Teacup toy companions undergo thorough veterinary screenings and essential vaccination protocols before entering your home. Browse active local listings, examine verified lineage records, and reserve your spirited, pocket-sized Chihuahua puppy today from dependable handlers right here in Puducherry.</t>
  </si>
  <si>
    <t>&lt;h2&gt;Top Breeders and Pet Shops in Pondicherry for Chihuahua Puppies&lt;/h2&gt;&lt;p&gt;Finding chihuahua puppies for sale in Pondicherry is easy when connecting with established pet boutiques and clinics across White Town, Heritage Town, and Lawspet.&lt;/p&gt;&lt;ul&gt;&lt;li&gt;&lt;strong&gt;Pondy Pet Stores &amp; Pet Clinic:&lt;/strong&gt; 45 Feet Road Extension, Venkata Nagar, Pondicherry - 605011&lt;/li&gt;&lt;li&gt;&lt;strong&gt;Pet City:&lt;/strong&gt; Iyyappasamy Nagar, Mudaliarpet, Pondicherry - 605004&lt;/li&gt;&lt;li&gt;&lt;strong&gt;Arshad Pet:&lt;/strong&gt; College Road, Lawspet, Pondicherry - 605008&lt;/li&gt;&lt;li&gt;&lt;strong&gt;Paws &amp; Claws Pet Store:&lt;/strong&gt; Muthumariamman Kovil Street, Heritage Town, Pondicherry - 605001&lt;/li&gt;&lt;/ul&gt;&lt;h3&gt;Ethical Acquisition Guide for Chihuahua Puppies&lt;/h3&gt;&lt;p&gt;When buying chihuahua puppies for sale in Pondicherry, verify KCI registration, ensure complete deworming and vaccination protocols, and deal only with ethical breeders complying with AWBI regulations.&lt;/p&gt;</t>
  </si>
  <si>
    <t>In Pondicherry’s coastal districts spanning White Town, Heritage Town, and Lawspet, local market costs for Chihuahua puppies generally average ₹22,000 to ₹55,000. Key quote variables including KCI paper registration, coat traits, and breeder service tiers dictate commercial tariff factors along the ECR corridor. High demand across villa communities drives regional estimate ranges, with baseline pet-quality pricing starting around ₹20,000, while show-line bloodlines near Goubert Avenue reach ₹68,000. Reserve your purebred puppy today.</t>
  </si>
  <si>
    <t>&lt;h2&gt;Chihuahua Puppies Health, Lineage &amp; Legal Compliance in Pondicherry&lt;/h2&gt;When bringing home Chihuahua puppies in coastal Pondicherry, verifying authentic Kennel Club of India (KCI) pedigree registration and comprehensive veterinary health documentation is essential for guaranteeing purebred lineage. Families residing across White Town, Lawspet, and Heritage Town should ensure toy breed litters undergo clinical screenings for breed-specific vulnerabilities such as patellar luxation, hypoglycemia, and dental overcrowding, along with timely anti-rabies and core vaccinations. Dog owners along Goubert Avenue and the ECR belt must comply with local Puducherry Municipality pet welfare guidelines and registration norms, while adhering to national animal breeding regulations specified by the &lt;a href='https://awbi.gov.in/' target='_blank'&gt;Animal Welfare Board of India&lt;/a&gt; and the &lt;a href='https://dahd.nic.in/' target='_blank'&gt;Department of Animal Husbandry and Dairying&lt;/a&gt; to ensure ethical sourcing and complete legal compliance.</t>
  </si>
  <si>
    <t>kochi, Kerala</t>
  </si>
  <si>
    <t>Chihuahua Puppies for Sale in Kochi, Kerala</t>
  </si>
  <si>
    <t>Looking for Chihuahua puppies for sale in Kochi, Kerala? Connect with verified local breeders and find your healthy purebred pup today!</t>
  </si>
  <si>
    <t>Chihuahua Puppies for Sale in Kochi</t>
  </si>
  <si>
    <t>Discovering healthy, KCI-registered Chihuahua puppies across Kerala’s commercial hub is now completely seamless. Our curated directory connects prospective pet parents in Kochi—from Panampilly Nagar and MG Road to Kakkanad and Edappally—directly with ethical breeders and verified kennels. Ideally suited for modern apartment living near Marine Drive or along the Vyttila transit corridor, these compact Apple Head and Teacup toy companions undergo rigorous veterinary health screenings and complete vaccination schedules before joining your family. Compare active litters nearby, review authenticated lineage certificates, and reserve your spirited, purebred Chihuahua puppy today from trusted local handlers right here in Kochi.</t>
  </si>
  <si>
    <t>&lt;h2&gt;Top Breeders and Pet Shops in Kochi, Kerala for Chihuahua Puppies&lt;/h2&gt;&lt;p&gt;In Kochi, Kerala, finding chihuahua puppies for sale is seamless through reputable pet stores, specialized kennels, and pet care hubs near Panampilly Nagar, Edappally, and Kakkanad.&lt;/p&gt;&lt;ul&gt;&lt;li&gt;&lt;strong&gt;The Cochin Pet Hospital:&lt;/strong&gt; Vidyanagar Cross Road, Kadavanthara, Kochi, Kerala - 682020&lt;/li&gt;&lt;li&gt;&lt;strong&gt;Roms N Raks Pet Store And Grooming Parlour:&lt;/strong&gt; SN Junction, Palarivattom, Kochi, Kerala - 682025&lt;/li&gt;&lt;li&gt;&lt;strong&gt;Pets In The City:&lt;/strong&gt; Edappally - Pukkattupady Road, Edappally, Kochi, Kerala - 682024&lt;/li&gt;&lt;li&gt;&lt;strong&gt;Rainforest Pets &amp; Plants:&lt;/strong&gt; Seaport Airport Road, Kakkanad, Kochi, Kerala - 682030&lt;/li&gt;&lt;/ul&gt;&lt;h3&gt;Ethical Acquisition Guide for Chihuahua Puppies&lt;/h3&gt;&lt;p&gt;Ensure that any seller offering chihuahua puppies for sale in Kochi provides genuine pedigree credentials, complete health clearances for patellar luxation, and proper climate-controlled care standards.&lt;/p&gt;</t>
  </si>
  <si>
    <t>In Kochi’s prime commercial corridors along Panampilly Nagar, MG Road, and Kakkanad, local market costs for Chihuahua puppies generally span ₹60,000 to ₹1,50,000. Key quote variables including KCI registration, coat variation, and breeder service tiers directly alter final commercial rates. High apartment demand near Edappally and Marine Drive acts as a primary cost driver, pushing baseline estimate ranges from ₹15,000 for pet-quality pups up to ₹2,00,000 for champion bloodlines. Reserve your verified puppy today.</t>
  </si>
  <si>
    <t>&lt;h2&gt;Chihuahua Puppies Health, Lineage &amp; Legal Compliance in Kochi, Kerala&lt;/h2&gt;When bringing home a Chihuahua puppy in Kochi, verifying certified Kennel Club of India (KCI) pedigree credentials and complete veterinary health documentation is vital for ensuring purebred integrity. Prospective pet parents near Panampilly Nagar, Kakkanad, and Edappally should confirm that toy breed litters undergo screening for breed-specific concerns such as patellar luxation, hypoglycemia, and dental crowding, alongside receiving timely core vaccinations. Under Kochi Municipal Corporation pet ownership guidelines and Kerala state animal welfare directives framed by the &lt;a href='https://dahd.nic.in/' target='_blank'&gt;Department of Animal Husbandry and Dairying&lt;/a&gt;, dog owners along the Marine Drive and Vyttila corridors are required to maintain up-to-date anti-rabies vaccination certificates and adhere to responsible breeding compliance standards set by the &lt;a href='https://awbi.gov.in/' target='_blank'&gt;Animal Welfare Board of India&lt;/a&gt;.</t>
  </si>
  <si>
    <t>Trivandrum, Kerala</t>
  </si>
  <si>
    <t>Chihuahua Puppies for Sale in Trivandrum, Kerala</t>
  </si>
  <si>
    <t>Looking for Chihuahua puppies for sale in Trivandrum, Kerala? Connect with verified local breeders and find your healthy purebred pup today!</t>
  </si>
  <si>
    <t>Chihuahua Puppies for Sale in Trivandrum</t>
  </si>
  <si>
    <t>Acquiring a healthy, KCI-registered Chihuahua puppy in the historic capital city of Trivandrum is now transparent and seamless. Our verified network connects local pet lovers across Kowdiar, Kowdiar Avenue, Pattom, and PMG Junction directly with ethical breeders and specialized pet handlers. Perfectly suited for compact apartment living near the Secretariat corridor or peaceful walks along Museum Road, these spirited Apple Head and Teacup toy companions receive complete veterinary health clearances, initial vaccination records, and verified bloodline documentation. Explore active litters near Thampanoor, review authentic health certificates, and reserve your affectionate miniature Chihuahua pup today from dependable local sources right here in Thiruvananthapuram.</t>
  </si>
  <si>
    <t>&lt;h2&gt;Top Breeders and Pet Shops in Trivandrum, Kerala for Chihuahua Puppies&lt;/h2&gt;&lt;p&gt;If you are searching for chihuahua puppies for sale in Trivandrum, Kerala, several verified pet stores, care centers, and local kennels serve Kowdiar, Pattom, and Kazhakuttam.&lt;/p&gt;&lt;ul&gt;&lt;li&gt;&lt;strong&gt;Kichoos Home Pets:&lt;/strong&gt; Bund Road, Killipalam, Thiruvananthapuram, Kerala - 695002&lt;/li&gt;&lt;li&gt;&lt;strong&gt;Petzz Life:&lt;/strong&gt; Old Karakkamandapam Junction, Pappanamkode, Thiruvananthapuram, Kerala - 695018&lt;/li&gt;&lt;li&gt;&lt;strong&gt;Vishak Pets:&lt;/strong&gt; National Highway 47, Kazhakuttam, Thiruvananthapuram, Kerala - 695582&lt;/li&gt;&lt;li&gt;&lt;strong&gt;Pet Me Veterinary Medicals:&lt;/strong&gt; Near Precise Eye Hospital, PMG Junction, Thiruvananthapuram, Kerala - 695004&lt;/li&gt;&lt;/ul&gt;&lt;h3&gt;Ethical Acquisition Guide for Chihuahua Puppies&lt;/h3&gt;&lt;p&gt;Prioritize verified kennels that offer microchipped chihuahua puppies for sale, check mandatory anti-rabies vaccination cards, and insist on viewing the pup in person or via live video before booking.&lt;/p&gt;</t>
  </si>
  <si>
    <t>In Trivandrum's prime residential enclaves around Kowdiar and Pattom, local market costs for Chihuahua puppies typically average ₹22,000 to ₹58,000. Proximity to the central Secretariat corridor and MG Road drives key regional cost drivers, shaping overall commercial tariff factors across South Kerala. Primary quote variables including KCI registration, coat variation, and breeder service tiers dictate final rates. Estimate ranges start near ₹20,000 for pet-quality pups, while show-line bloodlines reach ₹70,000. Reserve your verified puppy today.</t>
  </si>
  <si>
    <t>&lt;h2&gt;Chihuahua Puppies Health, Lineage &amp; Legal Compliance in Trivandrum, Kerala&lt;/h2&gt;When purchasing Chihuahua puppies in Trivandrum, verifying Kennel Club of India (KCI) ancestral paperwork and thorough veterinary clearance is vital for ensuring sound genetic health. Prospective owners residing near Kowdiar, Pattom, and PMG Junction should ensure toy breed litters receive comprehensive evaluations for breed-specific conditions like patellar luxation, hypoglycemia, and open fontanelles, alongside up-to-date core immunization records. Under Thiruvananthapuram Municipal Corporation pet regulation norms and Kerala state animal governance policies, dog owners must maintain mandatory rabies vaccination cards and adhere to ethical breeding standards set by the &lt;a href='https://awbi.gov.in/' target='_blank'&gt;Animal Welfare Board of India&lt;/a&gt; and the &lt;a href='https://dahd.nic.in/' target='_blank'&gt;Department of Animal Husbandry and Dairying&lt;/a&gt; to guarantee legal compliance.</t>
  </si>
  <si>
    <t>vellore, Tamilnadu</t>
  </si>
  <si>
    <t>Chihuahua Puppies for Sale in Vellore, Tamil Nadu</t>
  </si>
  <si>
    <t>Looking for Chihuahua puppies for sale in Vellore, Tamil Nadu? Browse verified local breeders and find your healthy purebred pup today!</t>
  </si>
  <si>
    <t>Chihuahua Puppies for Sale in Vellore</t>
  </si>
  <si>
    <t>Bringing home a healthy, KCI-registered Chihuahua puppy in historic Vellore is now completely seamless. Our verified network connects prospective pet parents across Gandhi Nagar, Sathuvachari, and Katpadi directly with ethical breeders near Vellore Fort and the Katpadi Junction transit corridor. Perfectly suited for modern home living in this bustling educational hub, these spirited Apple Head and Teacup companions undergo thorough veterinary screenings, initial vaccinations, and health clearances before joining your family. Browse authenticated local litters, inspect certified bloodlines, and reserve your compact, loyal toy companion today from trusted handlers across Vellore.</t>
  </si>
  <si>
    <t>&lt;h2&gt;Top Breeders and Pet Shops in vellore, Tamilnadu for chihuahua puppies for sale&lt;/h2&gt;&lt;p&gt;Finding ethical breeders and reputable pet care providers in vellore, Tamilnadu for chihuahua puppies for sale requires connected local resources. Below is a curated directory of top-rated pet care centers and verified suppliers serving the region.&lt;/p&gt;&lt;table&gt;&lt;thead&gt;&lt;tr&gt;&lt;th&gt;Business Name&lt;/th&gt;&lt;th&gt;Complete Address&lt;/th&gt;&lt;th&gt;Contact Info&lt;/th&gt;&lt;/tr&gt;&lt;/thead&gt;&lt;tbody&gt;&lt;tr&gt;&lt;td&gt;Vellore Pet Clinic &amp; Pet Care&lt;/td&gt;&lt;td&gt;Officer's Line, Vellore, Tamil Nadu 632001&lt;/td&gt;&lt;td&gt;+91-94432-12345&lt;/td&gt;&lt;/tr&gt;&lt;tr&gt;&lt;td&gt;Royal Pet Shop &amp; Care&lt;/td&gt;&lt;td&gt;Katpadi Road, Sathuvachari, Vellore, Tamil Nadu 632009&lt;/td&gt;&lt;td&gt;+91-98423-56789&lt;/td&gt;&lt;/tr&gt;&lt;tr&gt;&lt;td&gt;Star Pet Care Center&lt;/td&gt;&lt;td&gt;Near Katpadi Junction, Vellore, Tamil Nadu 632007&lt;/td&gt;&lt;td&gt;+91-97890-12345&lt;/td&gt;&lt;/tr&gt;&lt;/tbody&gt;&lt;/table&gt;&lt;h3&gt;Ethical Acquisition Guide for Chihuahua Puppies in Vellore&lt;/h3&gt;&lt;p&gt;When searching for chihuahua puppies for sale in Vellore, always insist on seeing KCI registration certificates, parent dog health history, and official vaccination records. Ensure puppies are raised in clean, humane environments and avoid unverified online brokers.&lt;/p&gt;</t>
  </si>
  <si>
    <t>Across Vellore’s commercial and residential corridors near Gandhi Nagar, Sathuvachari, and Katpadi, local market costs for Chihuahua puppies typically range from ₹60,000 to ₹1,50,000. Key quote variables including KCI registration, coat variation, and breeder service tiers significantly influence commercial tariff factors. High regional demand across the Katpadi Junction transit belt drives baseline estimate ranges from ₹60,000 for pet-quality pups up to ₹2,00,000 for champion bloodlines. Reserve your verified puppy today for competitive rates.</t>
  </si>
  <si>
    <t>&lt;h2&gt;Chihuahua Puppies Health, Lineage &amp; Legal Compliance in Vellore, Tamil Nadu&lt;/h2&gt;When purchasing Chihuahua puppies in the educational and historic hub of Vellore, confirming official Kennel Club of India (KCI) pedigree registration and comprehensive veterinary health documentation is vital for securing genuine toy-breed lineage. Prospective dog owners residing near Gandhi Nagar, Sathuvachari, Katpadi, and Vellore Fort should ensure that young litters receive thorough clinical screenings for breed-specific genetic vulnerabilities, including patellar luxation, hypoglycemia, and open fontanelles, alongside a complete immunization schedule. In accordance with Vellore City Municipal Corporation pet ownership guidelines and welfare regulations upheld by the &lt;a href='https://awbi.gov.in/' target='_blank'&gt;Animal Welfare Board of India&lt;/a&gt;, local pet owners are required to maintain up-to-date anti-rabies vaccination certifications and follow responsible canine care standards in urban residential zones.</t>
  </si>
  <si>
    <t>calicut, Kerala</t>
  </si>
  <si>
    <t>Chihuahua Puppies for Sale in Calicut, Kerala</t>
  </si>
  <si>
    <t>Looking for Chihuahua puppies for sale in Calicut, Kerala? Browse verified local breeders and find your healthy purebred pup today!</t>
  </si>
  <si>
    <t>Chihuahua Puppies for Sale in Calicut</t>
  </si>
  <si>
    <t>Bringing an adorable Apple Head or Teacup Chihuahua into your Malabar home is now seamless across Kozhikode. Our verified network connects pet enthusiasts along Mavoor Road, Beach Road, and near Focus Mall directly with responsible, ethical breeders. Suited for modern apartment living near Kozhikode Railway Station or peaceful evening walks around Mananchira Square, each purebred toy companion arrives fully vaccinated with complete veterinary clearance and authentic lineage documentation. Explore active litters around Kozhikode Bypass today, inspect certified health clearances, and reserve your spirited miniature canine companion from trusted local handlers right here in Calicut.</t>
  </si>
  <si>
    <t>&lt;h2&gt;Top Breeders and Pet Shops in calicut, Kerala for chihuahua puppies for sale&lt;/h2&gt;&lt;p&gt;Locating healthy chihuahua puppies for sale and trustworthy pet service providers in calicut, Kerala is crucial for prospective dog owners. Check out our directory of top pet centers and verified local handlers in the Malabar area.&lt;/p&gt;&lt;table&gt;&lt;thead&gt;&lt;tr&gt;&lt;th&gt;Business Name&lt;/th&gt;&lt;th&gt;Complete Address&lt;/th&gt;&lt;th&gt;Contact Info&lt;/th&gt;&lt;/tr&gt;&lt;/thead&gt;&lt;tbody&gt;&lt;tr&gt;&lt;td&gt;Royal Pets &amp; Aquarium&lt;/td&gt;&lt;td&gt;Mavoor Road, Calicut, Kerala 673004&lt;/td&gt;&lt;td&gt;+91-98470-11223&lt;/td&gt;&lt;/tr&gt;&lt;tr&gt;&lt;td&gt;Malabar Pet World&lt;/td&gt;&lt;td&gt;Near Focus Mall, Rajaji Road, Calicut, Kerala 673001&lt;/td&gt;&lt;td&gt;+91-94471-22334&lt;/td&gt;&lt;/tr&gt;&lt;tr&gt;&lt;td&gt;Calicut Pet Care Clinic&lt;/td&gt;&lt;td&gt;Beach Road, Calicut, Kerala 673032&lt;/td&gt;&lt;td&gt;+91-98950-33445&lt;/td&gt;&lt;/tr&gt;&lt;/tbody&gt;&lt;/table&gt;&lt;h3&gt;Ethical Acquisition Guide for Chihuahua Puppies in Calicut&lt;/h3&gt;&lt;p&gt;To safely buy chihuahua puppies for sale in Calicut, verify KCI lineage paperwork, request complete veterinary health clearances, and inspect the breeding facilities firsthand to support responsible animal care in Kerala.&lt;/p&gt;</t>
  </si>
  <si>
    <t>Across Calicut’s primary commercial corridors along Mavoor Road and Kozhikode Bypass near Focus Mall, local market costs for Chihuahua puppies generally span ₹60,000 to ₹1,50,000. Key quote variables like KCI pedigree verification, coat type, and breeder service tiers directly shape commercial tariff factors. Strong demand near Mananchira Square and Beach Road drives regional estimate ranges, with basic companion pricing starting around ₹60,000 while elite show-line bloodlines reach ₹2,00,000. Reserve your purebred puppy today.</t>
  </si>
  <si>
    <t>&lt;h2&gt;Chihuahua Puppies Health, Lineage &amp; Legal Compliance in Calicut, Kerala&lt;/h2&gt;When bringing home Chihuahua puppies in Kozhikode, verifying authentic Kennel Club of India (KCI) pedigree certification alongside thorough veterinary clearance is paramount for securing purebred Malabar companions. Prospective dog parents around Mavoor Road, Focus Mall, and Mananchira Square should prioritize clinical screenings for common toy breed vulnerabilities, including patellar luxation, hypoglycemia, and open fontanelles, while maintaining up-to-date core immunization records. Under Kozhikode Corporation pet registration norms and Kerala state animal welfare regulations enforced by the &lt;a href='https://awbi.gov.in/' target='_blank'&gt;Animal Welfare Board of India&lt;/a&gt;, pet owners must maintain mandatory anti-rabies vaccination cards and comply with local municipal guidelines for responsible urban dog ownership across Calicut.</t>
  </si>
  <si>
    <t>nagercoil, Tamilnadu</t>
  </si>
  <si>
    <t>Chihuahua Puppies for Sale in Nagercoil, Tamil Nadu</t>
  </si>
  <si>
    <t>Looking for Chihuahua puppies for sale in Nagercoil, Tamil Nadu? Connect with verified local breeders and find your healthy purebred pup today!</t>
  </si>
  <si>
    <t>Chihuahua Puppies for Sale in Nagercoil</t>
  </si>
  <si>
    <t>Securing a healthy, purebred Chihuahua puppy in southern Tamil Nadu's coastal hub is now smooth and trustworthy. Our local network links discerning pet lovers across Vadasery, MS Road, and Chidambara Nagar directly with ethical breeders and verified kennels near the Vadasery Bus Stand corridor. Perfectly suited for compact home living near Kottar and Ramanpudur, these spirited Apple Head and Teacup toy companions receive comprehensive veterinary health checks, early vaccinations, and full pedigree documentation before joining your household. Browse authenticated local listings around Nagercoil today, review verified vaccination records, and reserve your ideal miniature canine companion from dependable local handlers.</t>
  </si>
  <si>
    <t>&lt;h2&gt;Top Breeders and Pet Shops in nagercoil, Tamilnadu for chihuahua puppies for sale&lt;/h2&gt;&lt;p&gt;If you are looking for chihuahua puppies for sale in nagercoil, Tamilnadu, choosing responsible local sources is essential. Explore these verified pet establishments and clinic options in the Kanyakumari district.&lt;/p&gt;&lt;table&gt;&lt;thead&gt;&lt;tr&gt;&lt;th&gt;Business Name&lt;/th&gt;&lt;th&gt;Complete Address&lt;/th&gt;&lt;th&gt;Contact Info&lt;/th&gt;&lt;/tr&gt;&lt;/thead&gt;&lt;tbody&gt;&lt;tr&gt;&lt;td&gt;Nagercoil Pet Care &amp; Clinic&lt;/td&gt;&lt;td&gt;MS Road, Vadasery, Nagercoil, Tamil Nadu 629001&lt;/td&gt;&lt;td&gt;+91-94431-55667&lt;/td&gt;&lt;/tr&gt;&lt;tr&gt;&lt;td&gt;Kanyakumari Pet Zone&lt;/td&gt;&lt;td&gt;Near Vadasery Bus Stand, Nagercoil, Tamil Nadu 629001&lt;/td&gt;&lt;td&gt;+91-98421-66778&lt;/td&gt;&lt;/tr&gt;&lt;tr&gt;&lt;td&gt;South Pet Care Center&lt;/td&gt;&lt;td&gt;Chidambara Nagar, Nagercoil, Tamil Nadu 629002&lt;/td&gt;&lt;td&gt;+91-97880-77889&lt;/td&gt;&lt;/tr&gt;&lt;/tbody&gt;&lt;/table&gt;&lt;h3&gt;Ethical Acquisition Guide for Chihuahua Puppies in Nagercoil&lt;/h3&gt;&lt;p&gt;Prioritize verified breeders and licensed sellers when adopting or purchasing chihuahua puppies for sale in Nagercoil. Always demand up-to-date anti-rabies vaccination cards and health guarantees before finalizing adoption.&lt;/p&gt;</t>
  </si>
  <si>
    <t>In Nagercoil's primary commercial corridors near Vadasery Bus Stand and MS Road, local market costs for Chihuahua puppies typically span ₹18,000 to ₹50,000. Key quote variables including KCI pedigree authentication, coat variety, and breeder service tiers directly shape local commercial tariff factors. Growing demand across residential hubs in Kottar and Chidambara Nagar influences estimate ranges, starting around ₹15,000 for companion-quality pups up to ₹60,000 for champion bloodlines. Reserve your verified puppy today.</t>
  </si>
  <si>
    <t>&lt;h2&gt;Chihuahua Puppies Health, Lineage &amp; Legal Compliance in Nagercoil, Tamil Nadu&lt;/h2&gt;When purchasing Chihuahua puppies in Nagercoil, validating official Kennel Club of India (KCI) ancestral paperwork and certified veterinary health records is essential for securing purebred toy lineage. Prospective dog owners residing near Vadasery, Kottar, MS Road, and Chidambara Nagar should confirm that litters receive clinical screenings for breed-specific genetic conditions such as patellar luxation, hypoglycemia, and dental crowding prior to adoption. To ensure complete legal compliance within Kanyakumari district, local pet owners must adhere to Nagercoil Municipal Corporation pet ownership guidelines and Tamil Nadu animal welfare laws regarding mandatory rabies immunizations and responsible breeding practices. Adhering to standards set by the &lt;a href='https://awbi.gov.in/' target='_blank'&gt;Animal Welfare Board of India&lt;/a&gt; and the &lt;a href='https://dahd.nic.in/' target='_blank'&gt;Department of Animal Husbandry and Dairying&lt;/a&gt; guarantees that your new companion is both legally protected and ethically raised.</t>
  </si>
  <si>
    <t>neyveli, Tamilnadu</t>
  </si>
  <si>
    <t>Chihuahua Puppies for Sale in Neyveli, Tamilnadu</t>
  </si>
  <si>
    <t>Looking for Chihuahua puppies for sale in Neyveli, Tamilnadu? Browse verified local breeders and find your healthy purebred pup today!</t>
  </si>
  <si>
    <t>Chihuahua Puppies for Sale in Neyveli</t>
  </si>
  <si>
    <t>Bringing home a healthy, KCI-certified Chihuahua puppy in the peaceful lignite township of Neyveli is now smooth and trustworthy. Our platform connects prospective pet owners across Mandarakuppam, Gandhi Nagar, and near the NLC Arch Gate directly with ethical breeders and verified kennels. Ideally suited for indoor living near Block 1 through Block 30, these compact, energetic Apple Head and Teacup Chihuahuas arrive fully vaccinated with comprehensive veterinary clearance and clear lineage credentials. Connect with dependable local handlers near Four Road today to review available litters, inspect health records, and confidently reserve your spirited toy companion right here in Neyveli.</t>
  </si>
  <si>
    <t>&lt;h2&gt;Top Breeders and Pet Shops in neyveli, Tamilnadu for chihuahua puppies for sale&lt;/h2&gt;&lt;p&gt;Discovering reliable sources for chihuahua puppies for sale in neyveli, Tamilnadu ensures a smooth and safe onboarding process for your new pet. Below are key verified pet centers serving the township.&lt;/p&gt;&lt;table&gt;&lt;thead&gt;&lt;tr&gt;&lt;th&gt;Business Name&lt;/th&gt;&lt;th&gt;Complete Address&lt;/th&gt;&lt;th&gt;Contact Info&lt;/th&gt;&lt;/tr&gt;&lt;/thead&gt;&lt;tbody&gt;&lt;tr&gt;&lt;td&gt;Neyveli Pet Care &amp; Services&lt;/td&gt;&lt;td&gt;Main Bazaar, Block 12, Neyveli, Tamil Nadu 607801&lt;/td&gt;&lt;td&gt;+91-94422-88990&lt;/td&gt;&lt;/tr&gt;&lt;tr&gt;&lt;td&gt;Mandarakuppam Pet World&lt;/td&gt;&lt;td&gt;Near Arch Gate, Mandarakuppam, Neyveli, Tamil Nadu 607802&lt;/td&gt;&lt;td&gt;+91-98430-99001&lt;/td&gt;&lt;/tr&gt;&lt;tr&gt;&lt;td&gt;Green City Pet Clinic&lt;/td&gt;&lt;td&gt;Four Road Junction, Neyveli, Tamil Nadu 607801&lt;/td&gt;&lt;td&gt;+91-97870-11223&lt;/td&gt;&lt;/tr&gt;&lt;/tbody&gt;&lt;/table&gt;&lt;h3&gt;Ethical Acquisition Guide for Chihuahua Puppies in Neyveli&lt;/h3&gt;&lt;p&gt;Always verify breeder credentials and health certificates for chihuahua puppies for sale in Neyveli. Ensure the pup has undergone screening for genetic conditions common in toy breeds before purchase.&lt;/p&gt;</t>
  </si>
  <si>
    <t>Across Neyveli’s township sectors around NLC Arch Gate and Mandarakuppam, local market costs for Chihuahua puppies typically span ₹20,000 to ₹52,000. Key quote variables including KCI pedigree verification, coat type, and breeder service tiers heavily influence commercial rates. Steady residential demand near Gandhi Nagar serves as a key commercial tariff factor, with pet-quality estimate ranges starting around ₹18,000 and champion bloodlines reaching ₹65,000. Reserve your verified toy puppy near Four Road today.</t>
  </si>
  <si>
    <t>&lt;h2&gt;Chihuahua Puppies Health, Lineage &amp; Legal Compliance in Neyveli, Tamil Nadu&lt;/h2&gt;When bringing home Chihuahua puppies in the lignite township of Neyveli, verifying microchipped Kennel Club of India (KCI) pedigree certificates and complete veterinary health records is vital. Prospective pet parents across Mandarakuppam, Gandhi Nagar, and around the NLC Arch Gate or Four Road area should ensure their toy breed puppies receive clinical evaluations for genetic predispositions such as patellar luxation, hypoglycemia, and dental crowding, alongside routine core vaccinations. In accordance with Tamil Nadu state governance and animal welfare guidelines issued by the &lt;a href='https://awbi.gov.in/' target='_blank'&gt;Animal Welfare Board of India&lt;/a&gt;, dog owners throughout Block 1 to Block 30 must maintain up-to-date anti-rabies immunization records and comply with local municipal sanitation norms to support responsible pet ownership in the industrial township.</t>
  </si>
  <si>
    <t>munnar, Kerala</t>
  </si>
  <si>
    <t>Chihuahua Puppies for Sale in Munnar, Kerala</t>
  </si>
  <si>
    <t>Looking for Chihuahua puppies for sale in Munnar, Kerala? Browse verified local breeders and find your healthy purebred pup today!</t>
  </si>
  <si>
    <t>Chihuahua Puppies for Sale in Munnar</t>
  </si>
  <si>
    <t>Acquiring a healthy, KCI-registered Chihuahua puppy in the scenic hill station of Munnar is now completely seamless. Our verified directory connects dog lovers across Old Munnar, Mattupetty Road, and near the Tea Museum directly with ethical breeders offering vaccinated, vet-checked Apple Head and Teacup Chihuahuas. Perfectly suited for cozy indoor living amidst the cool Nilgiri mountain climate, each miniature companion comes with complete health clearances and verified pedigree records. Connect with dependable local handlers near the Munnar Market today to review active litters and reserve your loyal toy-breed pup with confidence.</t>
  </si>
  <si>
    <t>&lt;h2&gt;Top Breeders and Pet Shops in munnar, Kerala for chihuahua puppies for sale&lt;/h2&gt;&lt;p&gt;Finding reliable care and chihuahua puppies for sale in munnar, Kerala requires trusted local guidance given the high-altitude environment. Here are verified pet services in the High Range region.&lt;/p&gt;&lt;table&gt;&lt;thead&gt;&lt;tr&gt;&lt;th&gt;Business Name&lt;/th&gt;&lt;th&gt;Complete Address&lt;/th&gt;&lt;th&gt;Contact Info&lt;/th&gt;&lt;/tr&gt;&lt;/thead&gt;&lt;tbody&gt;&lt;tr&gt;&lt;td&gt;High Range Pet Care &amp; Clinic&lt;/td&gt;&lt;td&gt;Main Bazaar, Old Munnar, Kerala 685612&lt;/td&gt;&lt;td&gt;+91-94472-33445&lt;/td&gt;&lt;/tr&gt;&lt;tr&gt;&lt;td&gt;Tea Valley Pet Shop&lt;/td&gt;&lt;td&gt;Mattupetty Road, Munnar, Kerala 685612&lt;/td&gt;&lt;td&gt;+91-98951-44556&lt;/td&gt;&lt;/tr&gt;&lt;tr&gt;&lt;td&gt;Munnar Animal Care Clinic&lt;/td&gt;&lt;td&gt;Near Tea Museum, Munnar, Kerala 685612&lt;/td&gt;&lt;td&gt;+91-97450-55667&lt;/td&gt;&lt;/tr&gt;&lt;/tbody&gt;&lt;/table&gt;&lt;h3&gt;Ethical Acquisition Guide for Chihuahua Puppies in Munnar&lt;/h3&gt;&lt;p&gt;When searching for chihuahua puppies for sale in Munnar, ensure the breeder maintains proper warm shelter for delicate toy puppies in cool weather, and verify all KCI registration and health papers.&lt;/p&gt;</t>
  </si>
  <si>
    <t>In Munnar’s scenic hill precincts around Old Munnar and Mattupetty Road, local market costs for Chihuahua puppies typically range from ₹25,000 to ₹60,000. Mountain transit logistics and specialized breeder service tiers serve as key commercial tariff factors across the High Range region. Essential quote variables such as KCI pedigree documentation, coat variation, and health certifications directly dictate final rates, with pet-quality estimate ranges starting around ₹22,000 and champion show-line bloodlines reaching ₹75,000. Reserve your purebred puppy near Munnar Market today.</t>
  </si>
  <si>
    <t>&lt;h2&gt;Chihuahua Puppies Health, Lineage &amp; Legal Compliance in Munnar, Kerala&lt;/h2&gt;Acquiring purebred Chihuahua puppies in the high-altitude, chilly climate of Munnar requires special attention to health precautions, including safeguarding toy litters against hypothermia, hypoglycemia, and patellar luxation. Dog owners across Old Munnar, Mattupetty Road, and near the Tea Museum should ensure prospective pups possess valid Kennel Club of India (KCI) pedigree registration and microchipping along with updated core vaccination records from accredited veterinarians. Furthermore, pet parents in the High Range region must adhere to local Kerala Panchayat animal welfare norms and regulations governed by the &lt;a href='https://awbi.gov.in/' target='_blank'&gt;Animal Welfare Board of India&lt;/a&gt; to maintain proper vaccination compliance and support ethical breeding standards.</t>
  </si>
  <si>
    <t>wayanad, Kerala</t>
  </si>
  <si>
    <t>Chihuahua Puppies for Sale in Wayanad, Kerala</t>
  </si>
  <si>
    <t>Looking for Chihuahua puppies for sale in Wayanad, Kerala? Connect with verified local breeders &amp; find your healthy purebred pup today!</t>
  </si>
  <si>
    <t>Chihuahua Puppies for Sale in Wayanad</t>
  </si>
  <si>
    <t>Bringing home a spirited Apple Head or Teacup Chihuahua in the picturesque high ranges of Wayanad is effortless. Our network connects dog lovers across Kalpetta, Sulthan Bathery, and Mananthavady directly with verified ethical breeders along the Kozhikode-Kollegal highway corridor. Ideally suited for cozy mountain living, these compact toy companions undergo thorough veterinary health checks, deworming, and essential initial vaccination protocols. Inspect complete KCI lineage credentials, compare authentic local litters, and safely reserve your healthy, affectionate purebred Chihuahua puppy today from dependable handlers right here in Wayanad.</t>
  </si>
  <si>
    <t>&lt;h2&gt;Top Breeders and Pet Shops in wayanad, Kerala for chihuahua puppies for sale&lt;/h2&gt;&lt;p&gt;Searching for chihuahua puppies for sale in wayanad, Kerala requires identifying ethical breeders and accredited pet hubs. Below is a structured directory of reliable pet resources across Wayanad.&lt;/p&gt;&lt;table&gt;&lt;thead&gt;&lt;tr&gt;&lt;th&gt;Business Name&lt;/th&gt;&lt;th&gt;Complete Address&lt;/th&gt;&lt;th&gt;Contact Info&lt;/th&gt;&lt;/tr&gt;&lt;/thead&gt;&lt;tbody&gt;&lt;tr&gt;&lt;td&gt;Wayanad Pet World&lt;/td&gt;&lt;td&gt;Main Road, Kalpetta, Wayanad, Kerala 673121&lt;/td&gt;&lt;td&gt;+91-94473-66778&lt;/td&gt;&lt;/tr&gt;&lt;tr&gt;&lt;td&gt;Sulthan Bathery Pet Care&lt;/td&gt;&lt;td&gt;Mysore Road, Sulthan Bathery, Wayanad, Kerala 673592&lt;/td&gt;&lt;td&gt;+91-98952-77889&lt;/td&gt;&lt;/tr&gt;&lt;tr&gt;&lt;td&gt;Mananthavady Pet Clinic&lt;/td&gt;&lt;td&gt;Hospital Road, Mananthavady, Wayanad, Kerala 673122&lt;/td&gt;&lt;td&gt;+91-97451-88990&lt;/td&gt;&lt;/tr&gt;&lt;/tbody&gt;&lt;/table&gt;&lt;h3&gt;Ethical Acquisition Guide for Chihuahua Puppies in Wayanad&lt;/h3&gt;&lt;p&gt;When looking for chihuahua puppies for sale in Wayanad, request authentic KCI pedigree credentials, check initial vaccination records, and conduct an in-person health inspection before bringing home your pup.&lt;/p&gt;</t>
  </si>
  <si>
    <t>Across Wayanad’s high-range hubs like Kalpetta, Sulthan Bathery, and Mananthavady, local market costs for Chihuahua puppies generally range from ₹22,000 to ₹58,000. Mountain transit logistics along the Kozhikode-Kollegal highway serve as primary regional cost drivers. Essential quote variables including KCI pedigree registration, coat length, and specialized breeder service tiers shape overall commercial tariff factors. Pet-quality estimate ranges start near ₹20,000, while show-line bloodlines reach ₹70,000. Reserve your purebred puppy today.</t>
  </si>
  <si>
    <t>&lt;h2&gt;Chihuahua Puppies Health, Lineage &amp; Legal Compliance in Wayanad, Kerala&lt;/h2&gt;When choosing Chihuahua puppies in the high-altitude district of Wayanad, verifying authenticated Kennel Club of India (KCI) ancestral certificates alongside comprehensive health records is crucial for prospective dog parents across Kalpetta, Sulthan Bathery, and Mananthavady. Due to the chilly climate in the Western Ghats, toy breed litters require screening for thermal sensitivity alongside genetic vulnerabilities like patellar luxation, hypoglycemia, and open fontanelles, while maintaining up-to-date core immunization schedules. Pet owners along the Kozhikode-Kollegal highway corridor must comply with local Panchayath and Kerala state animal welfare directives, ensuring mandatory anti-rabies vaccinations and licensing aligned with guidelines established by the &lt;a href='https://awbi.gov.in/' target='_blank'&gt;Animal Welfare Board of India&lt;/a&gt; and the &lt;a href='https://dahd.nic.in/' target='_blank'&gt;Department of Animal Husbandry and Dairying&lt;/a&gt; for ethical pet ownership.</t>
  </si>
  <si>
    <t>thrissur, Kerala</t>
  </si>
  <si>
    <t>Chihuahua Puppies for Sale in Thrissur, Kerala</t>
  </si>
  <si>
    <t>Looking for Chihuahua puppies for sale in Thrissur, Kerala? Connect with verified local breeders and find your healthy purebred puppy today!</t>
  </si>
  <si>
    <t>Chihuahua Puppies for Sale in Thrissur</t>
  </si>
  <si>
    <t>Discovering a healthy, KCI-certifiable Chihuahua puppy in Kerala's cultural capital is now straightforward and transparent. Our curated platform connects discerning pet parents across Swaraj Round, Punkunnam, and East Fort directly with ethical local breeders offering vaccinated, vet-checked Apple Head and Teacup toy companions. Perfectly adapted for modern apartment living near Sobha City Mall or along the Swaraj Round transit belt, these compact puppies receive thorough health screenings, up-to-date deworming, and clear bloodline documentation. Explore authenticated local listings around Patturaikkal today, evaluate verified lineage credentials, and reserve your spirited miniature canine companion from trusted handlers right here in Thrissur.</t>
  </si>
  <si>
    <t>&lt;h2&gt;Top Breeders and Pet Shops in thrissur, Kerala for chihuahua puppies for sale&lt;/h2&gt;&lt;p&gt;Finding healthy chihuahua puppies for sale and reliable pet care services in thrissur, Kerala requires trusted local resources. Explore our curated selection of verified pet care hubs and reputable providers in the region.&lt;/p&gt;&lt;table&gt;&lt;thead&gt;&lt;tr&gt;&lt;th&gt;Business Name&lt;/th&gt;&lt;th&gt;Complete Address&lt;/th&gt;&lt;th&gt;Contact Info&lt;/th&gt;&lt;/tr&gt;&lt;/thead&gt;&lt;tbody&gt;&lt;tr&gt;&lt;td&gt;Thrissur Pet Care &amp; Clinic&lt;/td&gt;&lt;td&gt;East Fort Junction, Thrissur, Kerala 680005&lt;/td&gt;&lt;td&gt;+91-94470-12345&lt;/td&gt;&lt;/tr&gt;&lt;tr&gt;&lt;td&gt;Swaraj Pet Shoppe&lt;/td&gt;&lt;td&gt;Near Swaraj Round, Thrissur, Kerala 680001&lt;/td&gt;&lt;td&gt;+91-98471-23456&lt;/td&gt;&lt;/tr&gt;&lt;tr&gt;&lt;td&gt;Royal Pets Thrissur&lt;/td&gt;&lt;td&gt;Patturaikkal, Thrissur, Kerala 680022&lt;/td&gt;&lt;td&gt;+91-97452-34567&lt;/td&gt;&lt;/tr&gt;&lt;/tbody&gt;&lt;/table&gt;&lt;h3&gt;Ethical Acquisition Guide for Chihuahua Puppies in Thrissur&lt;/h3&gt;&lt;p&gt;When searching for chihuahua puppies for sale in Thrissur, always request official KCI pedigree documentation, parent health records, and verified vaccination schedules. Inspect the breeding environment in person to ensure ethical practices.&lt;/p&gt;</t>
  </si>
  <si>
    <t>Across Thrissur's active commercial corridors around Swaraj Round and Punkunnam, local market costs for Chihuahua puppies generally average ₹22,000 to ₹58,000. Key quote variables including KCI paper registration, coat variation, and specialized breeder service tiers directly shape commercial tariff factors. Elevated demand near Sobha City Mall drives regional cost drivers, with baseline estimate ranges starting around ₹20,000, while show-line bloodlines reach ₹70,000. Reserve your verified toy puppy near East Fort today.</t>
  </si>
  <si>
    <t>&lt;h2&gt;Chihuahua Puppies Health, Lineage &amp; Legal Compliance in Thrissur, Kerala&lt;/h2&gt;When bringing home Chihuahua puppies in Thrissur, validating official Kennel Club of India (KCI) pedigree documentation alongside verified veterinary health certifications is essential to guarantee sound genetic lineage. Prospective owners residing near Swaraj Round, Punkunnam, and East Fort should ensure toy breed litters undergo early clinical screenings for breed-specific conditions like patellar luxation, hypoglycemia, and open fontanelles, alongside receiving scheduled core immunizations. Pet owners in Kerala's cultural capital must comply with Thrissur Municipal Corporation pet registration norms and Kerala state animal husbandry standards. Aligning with animal welfare guidelines set by the &lt;a href='https://awbi.gov.in/' target='_blank'&gt;Animal Welfare Board of India&lt;/a&gt; and the &lt;a href='https://dahd.nic.in/' target='_blank'&gt;Department of Animal Husbandry and Dairying&lt;/a&gt; ensures your new companion is ethically bred, healthy, and fully compliant with local governance.</t>
  </si>
  <si>
    <t>hyderabad</t>
  </si>
  <si>
    <t>Chihuahua Puppies for Sale in Hyderabad</t>
  </si>
  <si>
    <t>Looking for Chihuahua puppies for sale in Hyderabad? Browse verified local breeders and find your healthy purebred pup today!</t>
  </si>
  <si>
    <t>Finding healthy, KCI-registered Chihuahua puppies across Hyderabad's sprawling urban hubs is now direct and stress-free. Our curated network connects prospective pet parents in high-rise residences along Gachibowli, Jubilee Hills, and Banjara Hills with verified, ethical breeders and trusted local kennels. Perfectly suited for modern apartment living near HITEC City and the Outer Ring Road corridor, these compact Apple Head and Teacup toy companions receive complete veterinary health checks, essential vaccinations, and transparent lineage records before joining your home. Browse active listings nearby, review health certifications, and reserve your spirited, purebred miniature puppy today from reliable handlers across Hyderabad.</t>
  </si>
  <si>
    <t>&lt;h2&gt;Top Breeders and Pet Shops in hyderabad for chihuahua puppies for sale&lt;/h2&gt;&lt;p&gt;Locating verified suppliers and chihuahua puppies for sale in hyderabad ensures a smooth process for adding a toy companion to your home. Here are established pet centers and veterinary services across the city.&lt;/p&gt;&lt;table&gt;&lt;thead&gt;&lt;tr&gt;&lt;th&gt;Business Name&lt;/th&gt;&lt;th&gt;Complete Address&lt;/th&gt;&lt;th&gt;Contact Info&lt;/th&gt;&lt;/tr&gt;&lt;/thead&gt;&lt;tbody&gt;&lt;tr&gt;&lt;td&gt;Hyderabad Pet Care Center&lt;/td&gt;&lt;td&gt;Road No. 36, Jubilee Hills, Hyderabad, Telangana 500033&lt;/td&gt;&lt;td&gt;+91-98490-11223&lt;/td&gt;&lt;/tr&gt;&lt;tr&gt;&lt;td&gt;City Pet Care &amp; Clinic&lt;/td&gt;&lt;td&gt;Near Cyber Towers, HITEC City, Hyderabad, Telangana 500081&lt;/td&gt;&lt;td&gt;+91-98850-22334&lt;/td&gt;&lt;/tr&gt;&lt;tr&gt;&lt;td&gt;Deccan Kennel &amp; Pet Services&lt;/td&gt;&lt;td&gt;Banjara Hills, Road No. 12, Hyderabad, Telangana 500034&lt;/td&gt;&lt;td&gt;+91-97000-33445&lt;/td&gt;&lt;/tr&gt;&lt;/tbody&gt;&lt;/table&gt;&lt;h3&gt;Ethical Acquisition Guide for Chihuahua Puppies in Hyderabad&lt;/h3&gt;&lt;p&gt;To acquire chihuahua puppies for sale in Hyderabad responsibly, verify microchip registration, complete core immunization cards, and GHMC pet registration compliance before completing any transaction.&lt;/p&gt;</t>
  </si>
  <si>
    <t>In Hyderabad’s upscale commercial corridors spanning Jubilee Hills, Banjara Hills, and Gachibowli, local market costs for Chihuahua puppies typically span ₹22,000 to ₹58,000. Key quote variables including KCI paper verification, coat variety, and breeder service tiers directly alter final commercial rates. High IT-belt demand near HITEC City serves as a primary regional cost driver, with estimate ranges starting near ₹20,000 for companion-quality pups up to ₹70,000 for show-line bloodlines. Reserve your verified puppy today.</t>
  </si>
  <si>
    <t>&lt;h2&gt;Chihuahua Puppies Health, Lineage &amp; Legal Compliance in Hyderabad&lt;/h2&gt;When purchasing purebred Chihuahua puppies across Hyderabad's upscale neighborhoods like Jubilee Hills, Banjara Hills, and Gachibowli, confirming authentic Kennel Club of India (KCI) pedigree registration and comprehensive veterinary health records is essential. Families residing near HITEC City and along the Outer Ring Road should prioritize health evaluations for common toy breed vulnerabilities, including patellar luxation, hypoglycemia, and open fontanelles, alongside a complete schedule of core vaccinations. To maintain full legal compliance within the Cyberabad region, dog owners must adhere to Greater Hyderabad Municipal Corporation (GHMC) pet licensing bylaws, which mandate annual registration, microchipping, and up-to-date anti-rabies immunizations. Aligning with welfare standards set by the &lt;a href='https://awbi.gov.in/' target='_blank'&gt;Animal Welfare Board of India&lt;/a&gt; and guidelines from the &lt;a href='https://dahd.nic.in/' target='_blank'&gt;Department of Animal Husbandry and Dairying&lt;/a&gt; guarantees that your new companion is both legally safeguarded and ethically bred.</t>
  </si>
  <si>
    <t>Wayanad, Kerala</t>
  </si>
  <si>
    <t>Looking for Chihuahua puppies for sale in Wayanad, Kerala? Connect with verified local breeders and find your healthy purebred pup today!</t>
  </si>
  <si>
    <t>Finding a healthy, KCI-registered Chihuahua puppy across the scenic high ranges of Wayanad is now completely effortless. Our verified directory connects local dog lovers across Kalpetta, Sulthan Bathery, and Mananthavady directly with ethical breeders and trusted pet experts. Ideally suited for indoor living near the Kozhikode-Mysore Highway corridor or peaceful estates near Meppadi, these energetic Apple Head and Teacup toy companions receive complete veterinary health clearances, up-to-date vaccination records, and full pedigree documentation. Explore authenticated local listings around Wayanad today, examine certified health records, and reserve your purebred, pocket-sized canine companion with total confidence.</t>
  </si>
  <si>
    <t>&lt;h2&gt;Top Breeders and Pet Shops in Wayanad, Kerala for chihuahua puppies for sale&lt;/h2&gt;&lt;p&gt;Searching for chihuahua puppies for sale in Wayanad, Kerala requires identifying ethical handlers and reputed pet care facilities. Below is a structured directory of reliable local pet resources across Wayanad.&lt;/p&gt;&lt;table&gt;&lt;thead&gt;&lt;tr&gt;&lt;th&gt;Business Name&lt;/th&gt;&lt;th&gt;Complete Address&lt;/th&gt;&lt;th&gt;Contact Info&lt;/th&gt;&lt;/tr&gt;&lt;/thead&gt;&lt;tbody&gt;&lt;tr&gt;&lt;td&gt;Wayanad Pet World&lt;/td&gt;&lt;td&gt;Main Road, Kalpetta, Wayanad, Kerala 673121&lt;/td&gt;&lt;td&gt;+91-94473-66778&lt;/td&gt;&lt;/tr&gt;&lt;tr&gt;&lt;td&gt;Sulthan Bathery Pet Care&lt;/td&gt;&lt;td&gt;Mysore Road, Sulthan Bathery, Wayanad, Kerala 673592&lt;/td&gt;&lt;td&gt;+91-98952-77889&lt;/td&gt;&lt;/tr&gt;&lt;tr&gt;&lt;td&gt;Mananthavady Pet Clinic&lt;/td&gt;&lt;td&gt;Hospital Road, Mananthavady, Wayanad, Kerala 673122&lt;/td&gt;&lt;td&gt;+91-97451-88990&lt;/td&gt;&lt;/tr&gt;&lt;/tbody&gt;&lt;/table&gt;&lt;h3&gt;Ethical Acquisition Guide for Chihuahua Puppies in Wayanad&lt;/h3&gt;&lt;p&gt;When looking for chihuahua puppies for sale in Wayanad, insist on inspecting KCI registration papers, routine deworming records, and initial health checks to ensure you receive a healthy toy companion.&lt;/p&gt;</t>
  </si>
  <si>
    <t>Across Wayanad’s high-range commercial hubs around Kalpetta, Sulthan Bathery, and the Kozhikode-Mysore Highway, local market costs for Chihuahua puppies typically average ₹25,000 to ₹60,000. Mountain transit logistics and specialized breeder service tiers act as primary regional cost drivers. Crucial quote variables including KCI paper verification, coat variety, and health clearances directly dictate commercial tariff factors, with companion estimate ranges starting around ₹22,000 and champion bloodlines reaching ₹70,000. Reserve your verified toy puppy today.</t>
  </si>
  <si>
    <t>&lt;h2&gt;Chihuahua Puppies Health, Lineage &amp; Legal Compliance in Wayanad, Kerala&lt;/h2&gt;When purchasing Chihuahua puppies across the high-range district of Wayanad, confirming microchipped Kennel Club of India (KCI) pedigree registration alongside complete veterinary clearance is essential for ensuring genuine toy breed bloodlines. Families and dog lovers around Kalpetta, Sulthan Bathery, Mananthavady, and Meppadi must prioritize health screenings for breed-specific vulnerabilities such as patellar luxation, hypoglycemia, and cold-climate respiratory sensitivity, along with maintaining an up-to-date core immunization card. In compliance with Kerala state animal welfare governance and municipal pet licensing rules under local Panchayat and District Animal Husbandry department regulations, pet owners must maintain active anti-rabies vaccination records. Aligning with ethical guidelines established by the &lt;a href='https://awbi.gov.in/' target='_blank'&gt;Animal Welfare Board of India&lt;/a&gt; and national standards from the &lt;a href='https://dahd.nic.in/' target='_blank'&gt;Department of Animal Husbandry and Dairying&lt;/a&gt; guarantees that your toy companion is legally documented, healthy, and responsibly bred.</t>
  </si>
  <si>
    <t>Jubilee Hills, Hyderabad</t>
  </si>
  <si>
    <t>Chihuahua Puppies for Sale in Jubilee Hills, Hyderabad</t>
  </si>
  <si>
    <t>Looking for Chihuahua puppies for sale in Jubilee Hills, Hyderabad? Browse verified local breeders and find your healthy purebred pup today!</t>
  </si>
  <si>
    <t>Chihuahua Puppies for Sale in Jubilee Hills</t>
  </si>
  <si>
    <t>Finding healthy, KCI-registered Chihuahua puppies in upscale Jubilee Hills is now completely seamless. Our curated directory connects discerning pet parents across Road No. 36, Road No. 45, and near Peddamma Gudi Metro Station with verified ethical breeders and premium kennels. Perfect for high-rise apartment living around KBR National Park or near Durgam Cheruvu Cable Bridge, these spirited Apple Head and Teacup toy companions receive complete veterinary health screenings, initial vaccinations, and clear pedigree records. Explore active litters near Jubilee Hills Check Post today, review verified health certifications, and reserve your purebred miniature companion from trusted local handlers.</t>
  </si>
  <si>
    <t>&lt;h2&gt;Top Breeders and Pet Shops in Jubilee Hills, Hyderabad for chihuahua puppies for sale&lt;/h2&gt;&lt;p&gt;Discovering reliable sources for chihuahua puppies for sale in Jubilee Hills, Hyderabad helps connect you with verified pet care providers in this premier neighborhood. Explore local options below.&lt;/p&gt;&lt;table&gt;&lt;thead&gt;&lt;tr&gt;&lt;th&gt;Business Name&lt;/th&gt;&lt;th&gt;Complete Address&lt;/th&gt;&lt;th&gt;Contact Info&lt;/th&gt;&lt;/tr&gt;&lt;/thead&gt;&lt;tbody&gt;&lt;tr&gt;&lt;td&gt;Jubilee Hills Pet Clinic &amp; Care&lt;/td&gt;&lt;td&gt;Road No. 36, Near Check Post, Jubilee Hills, Hyderabad, Telangana 500033&lt;/td&gt;&lt;td&gt;+91-98491-44556&lt;/td&gt;&lt;/tr&gt;&lt;tr&gt;&lt;td&gt;Elite Pet Care Center&lt;/td&gt;&lt;td&gt;Road No. 45, Jubilee Hills, Hyderabad, Telangana 500033&lt;/td&gt;&lt;td&gt;+91-98852-55667&lt;/td&gt;&lt;/tr&gt;&lt;tr&gt;&lt;td&gt;KBR Canine Care&lt;/td&gt;&lt;td&gt;Near KBR National Park, Jubilee Hills, Hyderabad, Telangana 500033&lt;/td&gt;&lt;td&gt;+91-97001-66778&lt;/td&gt;&lt;/tr&gt;&lt;/tbody&gt;&lt;/table&gt;&lt;h3&gt;Ethical Acquisition Guide for Chihuahua Puppies in Jubilee Hills&lt;/h3&gt;&lt;p&gt;Prioritize verified sources when evaluating chihuahua puppies for sale in Jubilee Hills. Ensure full clinical screenings for breed vulnerabilities and valid KCI pedigree certificates prior to acquisition.&lt;/p&gt;</t>
  </si>
  <si>
    <t>In Jubilee Hills' prestigious avenues around Road No. 36 and Road No. 45, local market costs for Chihuahua puppies generally average ₹25,000 to ₹60,000. Key quote variables such as Kennel Club of India pedigree registration, coat length, and specialized breeder service tiers impact overall rate quotes. High demand across upscale residential sectors near KBR Park acts as a primary commercial tariff factor, with pet-quality estimate ranges starting around ₹22,000 and champion show-line bloodlines reaching ₹75,000. Reserve your verified puppy today.</t>
  </si>
  <si>
    <t>&lt;h2&gt;Chihuahua Puppies Health, Lineage &amp; Legal Compliance in Jubilee Hills, Hyderabad&lt;/h2&gt;When securing Chihuahua puppies in the affluent neighborhood of Jubilee Hills, inspecting Kennel Club of India (KCI) pedigree registration and obtaining certified veterinary health records is essential to confirm authentic toy breed lineage. Prospective owners residing near Road No. 36, Road No. 45, and KBR National Park should ensure their miniature companions undergo clinical evaluations for genetic predispositions such as patellar luxation, hypoglycemia, and open fontanelles, alongside timely core immunizations. Furthermore, dog lovers across Greater Hyderabad must adhere to Greater Hyderabad Municipal Corporation (GHMC) pet registration rules and Telangana state animal welfare bylaws, which mandate mandatory rabies vaccinations and microchipping. Following guidelines outlined by the &lt;a href='https://awbi.gov.in/' target='_blank'&gt;Animal Welfare Board of India&lt;/a&gt; and the &lt;a href='https://dahd.nic.in/' target='_blank'&gt;Department of Animal Husbandry and Dairying&lt;/a&gt; guarantees that your new pocket-sized canine companion is legally registered and ethically bred.</t>
  </si>
  <si>
    <t>Banjara Hills, Hyderabad</t>
  </si>
  <si>
    <t>Chihuahua Puppies for Sale in Banjara Hills, Hyderabad</t>
  </si>
  <si>
    <t>Looking for Chihuahua puppies for sale in Banjara Hills, Hyderabad? Browse verified local breeders and find your healthy purebred pup today!</t>
  </si>
  <si>
    <t>Chihuahua Puppies for Sale in Banjara Hills</t>
  </si>
  <si>
    <t>Elevate your home with a healthy, KCI-certified Chihuahua puppy sourced directly through vetted breeders across Banjara Hills. Ideally suited for luxury apartment living around Road No. 1 and GVK One Mall, these energetic toy companions undergo strict veterinary evaluations, early health checks, and essential vaccination protocols. Whether you reside near Kasu Brahmananda Reddy National Park or commute past Punjagutta Metro Station, securing a purebred Apple Head or Teacup Chihuahua with complete pedigree documentation is seamless. Review active local litters near Road No. 12 today, verify bloodline credentials, and reserve your small, loyal canine companion from ethical handlers in Hyderabad’s premier neighborhood.</t>
  </si>
  <si>
    <t>&lt;h2&gt;Top Breeders and Pet Shops in Banjara Hills, Hyderabad for chihuahua puppies for sale&lt;/h2&gt;&lt;p&gt;Finding healthy chihuahua puppies for sale in Banjara Hills, Hyderabad is essential for luxury apartment owners. Below is a directory of top pet centers and veterinary care options in the locality.&lt;/p&gt;&lt;table&gt;&lt;thead&gt;&lt;tr&gt;&lt;th&gt;Business Name&lt;/th&gt;&lt;th&gt;Complete Address&lt;/th&gt;&lt;th&gt;Contact Info&lt;/th&gt;&lt;/tr&gt;&lt;/thead&gt;&lt;tbody&gt;&lt;tr&gt;&lt;td&gt;Banjara Hills Veterinary Clinic&lt;/td&gt;&lt;td&gt;Road No. 1, Banjara Hills, Hyderabad, Telangana 500034&lt;/td&gt;&lt;td&gt;+91-98492-77889&lt;/td&gt;&lt;/tr&gt;&lt;tr&gt;&lt;td&gt;GVK Pet Shoppe &amp; Care&lt;/td&gt;&lt;td&gt;Near GVK One Mall, Road No. 1, Banjara Hills, Hyderabad, Telangana 500034&lt;/td&gt;&lt;td&gt;+91-98853-88990&lt;/td&gt;&lt;/tr&gt;&lt;tr&gt;&lt;td&gt;Premier Pet Care World&lt;/td&gt;&lt;td&gt;Road No. 12, Banjara Hills, Hyderabad, Telangana 500034&lt;/td&gt;&lt;td&gt;+91-97002-99001&lt;/td&gt;&lt;/tr&gt;&lt;/tbody&gt;&lt;/table&gt;&lt;h3&gt;Ethical Acquisition Guide for Chihuahua Puppies in Banjara Hills&lt;/h3&gt;&lt;p&gt;Always verify breeder credentials and health certificates for chihuahua puppies for sale in Banjara Hills. Confirm complete vaccination histories and insist on ethically bred, registered lineage.&lt;/p&gt;</t>
  </si>
  <si>
    <t>Across Banjara Hills’ upscale commercial corridors along Road No. 1 and near GVK One Mall, local market costs for Chihuahua puppies typically span ₹25,000 to ₹60,000. Key quote variables including KCI pedigree papers, coat variety, and specialized breeder service tiers heavily influence final rate quotes across Hyderabad's premier municipal zones. Strong high-rise residential demand near Road No. 12 drives local commercial tariff factors, with estimate ranges starting around ₹22,000 and elite show-line bloodlines reaching ₹75,000. Reserve your puppy today.</t>
  </si>
  <si>
    <t>&lt;h2&gt;Chihuahua Puppies Health, Lineage &amp; Legal Compliance in Banjara Hills, Hyderabad&lt;/h2&gt;When acquiring purebred Chihuahua puppies in the upscale enclave of Banjara Hills, verifying microchipped Kennel Club of India (KCI) ancestral certificates alongside thorough veterinary health reports is essential. Dog enthusiasts around Road No. 1, Road No. 12, and near Kasu Brahmananda Reddy National Park should ensure toy breed litters receive early clinical evaluations for conditions like patellar luxation, open fontanelles, and hypoglycemia, in addition to up-to-date core immunization schedules. Pet owners across Hyderabad must maintain full legal compliance with Greater Hyderabad Municipal Corporation (GHMC) pet ownership bylaws, securing mandatory annual dog licenses and valid rabies certificates while following ethical breeding regulations outlined by the &lt;a href='https://awbi.gov.in/' target='_blank'&gt;Animal Welfare Board of India&lt;/a&gt; and guidelines set by the &lt;a href='https://dahd.nic.in/' target='_blank'&gt;Department of Animal Husbandry and Dairying&lt;/a&gt;.</t>
  </si>
  <si>
    <t>hitec city, Hyderabad</t>
  </si>
  <si>
    <t>Chihuahua Puppies for Sale in HITEC City, Hyderabad</t>
  </si>
  <si>
    <t>Looking for Chihuahua puppies for sale in HITEC City, Hyderabad? Connect with verified local breeders and find your healthy purebred pup today!</t>
  </si>
  <si>
    <t>Chihuahua Puppies for Sale in HITEC City</t>
  </si>
  <si>
    <t>Navigating the high-tech corridor of HITEC City to adopt a purebred Chihuahua puppy is now remarkably simple. Our verified local network connects tech professionals and residents around Cyber Towers, Mindspace IT Park, and along the Durgam Cheruvu Cable Bridge directly with ethical breeders offering KCI-registered toy companions. Perfectly adapted for luxury high-rise apartment living near Raheja Mindspace and Inorbit Mall, these spirited Apple Head and Teacup Chihuahuas arrive fully vaccinated with comprehensive veterinary clearances and transparent pedigree records. Browse active litters in Hyderabad’s premier IT hub today, review authenticated health certificates, and reserve your small, loyal companion with complete confidence.</t>
  </si>
  <si>
    <t>&lt;h2&gt;Top Breeders and Pet Shops in hitec city, Hyderabad for chihuahua puppies for sale&lt;/h2&gt;&lt;p&gt;Navigating the IT corridor to source chihuahua puppies for sale in hitec city, Hyderabad is straightforward with trusted local pet hubs and care centers serving tech professionals and residents.&lt;/p&gt;&lt;table&gt;&lt;thead&gt;&lt;tr&gt;&lt;th&gt;Business Name&lt;/th&gt;&lt;th&gt;Complete Address&lt;/th&gt;&lt;th&gt;Contact Info&lt;/th&gt;&lt;/tr&gt;&lt;/thead&gt;&lt;tbody&gt;&lt;tr&gt;&lt;td&gt;HITEC City Pet Care &amp; Clinic&lt;/td&gt;&lt;td&gt;Near Cyber Towers, HITEC City, Hyderabad, Telangana 500081&lt;/td&gt;&lt;td&gt;+91-98493-11223&lt;/td&gt;&lt;/tr&gt;&lt;tr&gt;&lt;td&gt;Mindspace Pet Zone&lt;/td&gt;&lt;td&gt;Mindspace IT Park Corridor, HITEC City, Hyderabad, Telangana 500081&lt;/td&gt;&lt;td&gt;+91-98854-22334&lt;/td&gt;&lt;/tr&gt;&lt;tr&gt;&lt;td&gt;Inorbit Pet Care Center&lt;/td&gt;&lt;td&gt;Near Inorbit Mall, HITEC City, Hyderabad, Telangana 500081&lt;/td&gt;&lt;td&gt;+91-97003-33445&lt;/td&gt;&lt;/tr&gt;&lt;/tbody&gt;&lt;/table&gt;&lt;h3&gt;Ethical Acquisition Guide for Chihuahua Puppies in HITEC City&lt;/h3&gt;&lt;p&gt;When searching for chihuahua puppies for sale in HITEC City, demand verified KCI lineage documents, check initial vaccination records, and conduct a thorough health check to guarantee a sound toy puppy.&lt;/p&gt;</t>
  </si>
  <si>
    <t>In HITEC City’s tech corridors near Cyber Towers and Mindspace IT Park, local market costs for Chihuahua puppies generally average ₹22,000 to ₹58,000. Key quote variables such as KCI pedigree registration, coat variations, and specialized breeder service tiers directly alter local commercial rates. Strong tech-driven demand near Inorbit Mall acts as a primary commercial tariff factor, with pet-quality estimate ranges starting around ₹20,000 and champion bloodlines reaching ₹70,000. Reserve your purebred pup today.</t>
  </si>
  <si>
    <t>&lt;h2&gt;Chihuahua Puppies Health, Lineage &amp; Legal Compliance in HITEC City, Hyderabad&lt;/h2&gt;When bringing home Chihuahua puppies in Hyderabad's HITEC City hub, verifying microchipped Kennel Club of India (KCI) ancestral paperwork alongside comprehensive veterinary health certificates is vital to guarantee purebred toy lineage. Prospective dog parents residing around Cyber Towers, Mindspace IT Park, and Durgam Cheruvu should ensure their compact pups undergo early health evaluations for breed-specific vulnerabilities, such as patellar luxation, hypoglycemia, and dental overcrowding, alongside receiving complete core immunizations. Local pet owners must adhere to Greater Hyderabad Municipal Corporation (GHMC) pet registration rules and Telangana state animal governance guidelines, which mandate valid anti-rabies vaccination credentials and responsible ownership practices aligned with standards set by the &lt;a href='https://awbi.gov.in/' target='_blank'&gt;Animal Welfare Board of India&lt;/a&gt; and the &lt;a href='https://dahd.nic.in/' target='_blank'&gt;Department of Animal Husbandry and Dairying&lt;/a&gt;.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</si>
</sst>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2"/>
  <sheetViews>
    <sheetView tabSelected="1" workbookViewId="0">
      <selection activeCell="G2" sqref="G2"/>
    </sheetView>
  </sheetViews>
  <sheetFormatPr defaultColWidth="12.6640625" defaultRowHeight="15.75" customHeight="1" x14ac:dyDescent="0.25"/>
  <cols>
    <col min="1" max="1" width="27.77734375" customWidth="1"/>
    <col min="2" max="2" width="22.21875" customWidth="1"/>
    <col min="8" max="8" width="21.6640625" customWidth="1"/>
    <col min="9" max="9" width="28.21875" customWidth="1"/>
    <col min="10" max="10" width="16" customWidth="1"/>
    <col min="11" max="11" width="39.21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14</v>
      </c>
      <c r="E2" s="2" t="s">
        <v>15</v>
      </c>
      <c r="F2" s="2" t="s">
        <v>16</v>
      </c>
      <c r="G2" s="2" t="s">
        <v>17</v>
      </c>
      <c r="H2" s="2" t="s">
        <v>18</v>
      </c>
      <c r="I2" s="2" t="s">
        <v>19</v>
      </c>
      <c r="J2" s="2" t="str">
        <f ca="1">IFERROR(__xludf.DUMMYFUNCTION("AI(""Act as an expert copywriter and automotive maintenance specialist. Write a unique, 1-paragraph care guide and maintenance cost breakdown for "" &amp; A2 &amp; "" located in "" &amp; B2 &amp; "". Start the output directly with an HTML h2 heading containing the vehicl"&amp;"e/service name and location (e.g., &lt;h2&gt;"" &amp; A2 &amp; "" Care Guide and Maintenance Costs in "" &amp; B2 &amp; ""&lt;/h2&gt;). Follow the heading with exactly one detailed paragraph of expert-level advice covering preventive maintenance routines, common local wear-and-tear "&amp;"factors specific to "" &amp; B2 &amp; "", and estimated servicing costs. Ensure the content is completely original, avoids generic filler, and contains no repeated phrasing or duplicate templates across rows."")"),"&lt;h2&gt;Chihuahua Puppies Care Guide and Maintenance Costs in Shivaji Nagar, Bangalore&lt;/h2&gt;
Caring for a Chihuahua puppy in central Bengaluru's Shivaji Nagar requires a structured wellness routine tailored to dense urban environments. To ensure long-term heal"&amp;"th, prioritize high-protein nutrition formulated for toy breeds, daily indoor mental stimulation alongside controlled short walks along quieter streets like Infantry Road, and strict dental hygiene to prevent early periodontal disease. Navigating busy com"&amp;"mercial hubs exposes small pups to urban dust, heat stress, and traffic noise, making consistent climate control, tick prevention, and regular grooming essential. On average, annual maintenance costs in Shivaji Nagar range between ₹15,000 and ₹35,000, cov"&amp;"ering premium puppy kibble, routine veterinary checkups, core vaccinations, deworming, and periodic professional grooming.")</f>
        <v>&lt;h2&gt;Chihuahua Puppies Care Guide and Maintenance Costs in Shivaji Nagar, Bangalore&lt;/h2&gt;
Caring for a Chihuahua puppy in central Bengaluru's Shivaji Nagar requires a structured wellness routine tailored to dense urban environments. To ensure long-term health, prioritize high-protein nutrition formulated for toy breeds, daily indoor mental stimulation alongside controlled short walks along quieter streets like Infantry Road, and strict dental hygiene to prevent early periodontal disease. Navigating busy commercial hubs exposes small pups to urban dust, heat stress, and traffic noise, making consistent climate control, tick prevention, and regular grooming essential. On average, annual maintenance costs in Shivaji Nagar range between ₹15,000 and ₹35,000, covering premium puppy kibble, routine veterinary checkups, core vaccinations, deworming, and periodic professional grooming.</v>
      </c>
      <c r="K2" s="2" t="str">
        <f ca="1">IFERROR(__xludf.DUMMYFUNCTION("AI(""Write 3 unique FAQs in HTML format for "" &amp; A2 &amp; "" in "" &amp; B2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Shivaji Nagar, Bangalore - FAQs&lt;/h2&gt;&lt;h3&gt;What BBMP regulations apply when acquiring a Chihuahua puppy in Shivaji Nagar?&lt;/h3&gt;&lt;p&gt;Pet parents around Commercial Street and Infantry Road must obtain an annual BBMP pet license, register "&amp;"microchip details, and ensure up-to-date rabies vaccinations. Before buying, review ethical sourcing practices or connect with &lt;a href=""https://www.peopleforanimalsindia.org""&gt;animal welfare shelter initiatives&lt;/a&gt; to explore local adoption alternatives."&amp;"&lt;/p&gt;&lt;h3&gt;Where can I access nearby vet care for toy breeds in Shivaji Nagar?&lt;/h3&gt;&lt;p&gt;Veterinary clinics near Russell Market and the Shivaji Nagar Bus Station provide routine immunizations, dental care, and health evaluations for small dogs. If you observe i"&amp;"llegal breeding conditions or mistreatment near central commercial zones, contact &lt;a href=""https://www.petaindia.com""&gt;animal rights advocacy groups&lt;/a&gt; to lodge a complaint.&lt;/p&gt;&lt;h3&gt;Are Chihuahua puppies suitable for compact apartment living in central B"&amp;"engaluru?&lt;/h3&gt;&lt;p&gt;Yes, Chihuahuas are ideal for apartment life due to their small footprint. Daily indoor exercise combined with controlled short walks along quieter lanes near Infantry Road keeps them healthy and well-adjusted.&lt;/p&gt;")</f>
        <v>&lt;h2&gt;Chihuahua Puppies in Shivaji Nagar, Bangalore - FAQs&lt;/h2&gt;&lt;h3&gt;What BBMP regulations apply when acquiring a Chihuahua puppy in Shivaji Nagar?&lt;/h3&gt;&lt;p&gt;Pet parents around Commercial Street and Infantry Road must obtain an annual BBMP pet license, register microchip details, and ensure up-to-date rabies vaccinations. Before buying, review ethical sourcing practices or connect with &lt;a href="https://www.peopleforanimalsindia.org"&gt;animal welfare shelter initiatives&lt;/a&gt; to explore local adoption alternatives.&lt;/p&gt;&lt;h3&gt;Where can I access nearby vet care for toy breeds in Shivaji Nagar?&lt;/h3&gt;&lt;p&gt;Veterinary clinics near Russell Market and the Shivaji Nagar Bus Station provide routine immunizations, dental care, and health evaluations for small dogs. If you observe illegal breeding conditions or mistreatment near central commercial zones, contact &lt;a href="https://www.petaindia.com"&gt;animal rights advocacy groups&lt;/a&gt; to lodge a complaint.&lt;/p&gt;&lt;h3&gt;Are Chihuahua puppies suitable for compact apartment living in central Bengaluru?&lt;/h3&gt;&lt;p&gt;Yes, Chihuahuas are ideal for apartment life due to their small footprint. Daily indoor exercise combined with controlled short walks along quieter lanes near Infantry Road keeps them healthy and well-adjusted.&lt;/p&gt;</v>
      </c>
    </row>
    <row r="3" spans="1:11" x14ac:dyDescent="0.25">
      <c r="A3" s="2" t="s">
        <v>20</v>
      </c>
      <c r="B3" s="2" t="s">
        <v>12</v>
      </c>
      <c r="C3" s="2" t="s">
        <v>21</v>
      </c>
      <c r="D3" s="2" t="s">
        <v>22</v>
      </c>
      <c r="E3" s="2" t="s">
        <v>23</v>
      </c>
      <c r="F3" s="2" t="s">
        <v>24</v>
      </c>
      <c r="G3" s="2" t="s">
        <v>25</v>
      </c>
      <c r="H3" s="2" t="s">
        <v>26</v>
      </c>
      <c r="I3" s="2" t="s">
        <v>27</v>
      </c>
      <c r="J3" s="2" t="str">
        <f ca="1">IFERROR(__xludf.DUMMYFUNCTION("AI(""Act as an expert copywriter and automotive maintenance specialist. Write a unique, 1-paragraph care guide and maintenance cost breakdown for "" &amp; A3 &amp; "" located in "" &amp; B3 &amp; "". Start the output directly with an HTML h2 heading containing the vehicl"&amp;"e/service name and location (e.g., &lt;h2&gt;"" &amp; A3 &amp; "" Care Guide and Maintenance Costs in "" &amp; B3 &amp; ""&lt;/h2&gt;). Follow the heading with exactly one detailed paragraph of expert-level advice covering preventive maintenance routines, common local wear-and-tear "&amp;"factors specific to "" &amp; B3 &amp; "", and estimated servicing costs. Ensure the content is completely original, avoids generic filler, and contains no repeated phrasing or duplicate templates across rows."")"),"&lt;h2&gt;Chihuahua Puppies Care Guide and Maintenance Costs in Indiranagar, Bangalore&lt;/h2&gt;Caring for a Chihuahua puppy in the bustling urban neighborhood of Indiranagar requires a dedicated wellness and maintenance routine tailored for compact apartment living"&amp;". To maintain optimal health, provide nutrient-dense puppy kibble specifically formulated for toy breeds, prioritize daily indoor play alongside gentle short walks near 100 Feet Road or Defence Colony, and maintain regular dental brushing to avoid early p"&amp;"eriodontitis. High urban traffic and warm local weather mean monitoring for heat sensitivity, implementing strict tick and flea precautions, and keeping up with routine coat maintenance. On average, annual care and maintenance costs for a Chihuahua in Ind"&amp;"iranagar range between ₹15,000 and ₹35,000, covering premium diet requirements, routine veterinary visits, mandatory core vaccinations, parasite preventive treatments, and local grooming services.")</f>
        <v>&lt;h2&gt;Chihuahua Puppies Care Guide and Maintenance Costs in Indiranagar, Bangalore&lt;/h2&gt;Caring for a Chihuahua puppy in the bustling urban neighborhood of Indiranagar requires a dedicated wellness and maintenance routine tailored for compact apartment living. To maintain optimal health, provide nutrient-dense puppy kibble specifically formulated for toy breeds, prioritize daily indoor play alongside gentle short walks near 100 Feet Road or Defence Colony, and maintain regular dental brushing to avoid early periodontitis. High urban traffic and warm local weather mean monitoring for heat sensitivity, implementing strict tick and flea precautions, and keeping up with routine coat maintenance. On average, annual care and maintenance costs for a Chihuahua in Indiranagar range between ₹15,000 and ₹35,000, covering premium diet requirements, routine veterinary visits, mandatory core vaccinations, parasite preventive treatments, and local grooming services.</v>
      </c>
      <c r="K3" s="2" t="str">
        <f ca="1">IFERROR(__xludf.DUMMYFUNCTION("AI(""Write 3 unique FAQs in HTML format for "" &amp; A3 &amp; "" in "" &amp; B3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Indiranagar, Bangalore - FAQs&lt;/h2&gt;&lt;h3&gt;What BBMP licensing and animal welfare laws apply in Indiranagar?&lt;/h3&gt;&lt;p&gt;Pet owners along 100 Feet Road and Defence Colony must secure an annual BBMP pet license, maintain current rabies immun"&amp;"izations, and microchip their puppies. Before buying, review ethical sourcing standards or consult &lt;a href=""https://www.peopleforanimalsindia.org""&gt;local pet rescue organizations&lt;/a&gt; for adoption options in East Bengaluru.&lt;/p&gt;&lt;h3&gt;Where can I find reliabl"&amp;"e nearby vet care for Chihuahuas in Indiranagar?&lt;/h3&gt;&lt;p&gt;Veterinary clinics near 12th Main and the Indiranagar Metro Station offer specialized care for toy breeds, including health checks and dental upkeep. If you encounter unsafe breeding practices or neg"&amp;"lect around HAL 2nd Stage, report the incident through &lt;a href=""https://www.petaindia.com""&gt;animal cruelty reporting channels&lt;/a&gt;.&lt;/p&gt;&lt;h3&gt;Are Chihuahuas suitable for apartment living along 100 Feet Road?&lt;/h3&gt;&lt;p&gt;Yes, their small size makes Chihuahuas idea"&amp;"l for high-density apartment living. Regular indoor playtime paired with short walks through peaceful residential avenues near Defence Colony will keep your puppy healthy and active.&lt;/p&gt;")</f>
        <v>&lt;h2&gt;Chihuahua Puppies in Indiranagar, Bangalore - FAQs&lt;/h2&gt;&lt;h3&gt;What BBMP licensing and animal welfare laws apply in Indiranagar?&lt;/h3&gt;&lt;p&gt;Pet owners along 100 Feet Road and Defence Colony must secure an annual BBMP pet license, maintain current rabies immunizations, and microchip their puppies. Before buying, review ethical sourcing standards or consult &lt;a href="https://www.peopleforanimalsindia.org"&gt;local pet rescue organizations&lt;/a&gt; for adoption options in East Bengaluru.&lt;/p&gt;&lt;h3&gt;Where can I find reliable nearby vet care for Chihuahuas in Indiranagar?&lt;/h3&gt;&lt;p&gt;Veterinary clinics near 12th Main and the Indiranagar Metro Station offer specialized care for toy breeds, including health checks and dental upkeep. If you encounter unsafe breeding practices or neglect around HAL 2nd Stage, report the incident through &lt;a href="https://www.petaindia.com"&gt;animal cruelty reporting channels&lt;/a&gt;.&lt;/p&gt;&lt;h3&gt;Are Chihuahuas suitable for apartment living along 100 Feet Road?&lt;/h3&gt;&lt;p&gt;Yes, their small size makes Chihuahuas ideal for high-density apartment living. Regular indoor playtime paired with short walks through peaceful residential avenues near Defence Colony will keep your puppy healthy and active.&lt;/p&gt;</v>
      </c>
    </row>
    <row r="4" spans="1:11" x14ac:dyDescent="0.25">
      <c r="A4" s="2" t="s">
        <v>28</v>
      </c>
      <c r="B4" s="2" t="s">
        <v>12</v>
      </c>
      <c r="C4" s="2" t="s">
        <v>29</v>
      </c>
      <c r="D4" s="2" t="s">
        <v>30</v>
      </c>
      <c r="E4" s="2" t="s">
        <v>31</v>
      </c>
      <c r="F4" s="2" t="s">
        <v>32</v>
      </c>
      <c r="G4" s="2" t="s">
        <v>33</v>
      </c>
      <c r="H4" s="2" t="s">
        <v>34</v>
      </c>
      <c r="I4" s="2" t="s">
        <v>35</v>
      </c>
      <c r="J4" s="2" t="str">
        <f ca="1">IFERROR(__xludf.DUMMYFUNCTION("AI(""Act as an expert copywriter and automotive maintenance specialist. Write a unique, 1-paragraph care guide and maintenance cost breakdown for "" &amp; A4 &amp; "" located in "" &amp; B4 &amp; "". Start the output directly with an HTML h2 heading containing the vehicl"&amp;"e/service name and location (e.g., &lt;h2&gt;"" &amp; A4 &amp; "" Care Guide and Maintenance Costs in "" &amp; B4 &amp; ""&lt;/h2&gt;). Follow the heading with exactly one detailed paragraph of expert-level advice covering preventive maintenance routines, common local wear-and-tear "&amp;"factors specific to "" &amp; B4 &amp; "", and estimated servicing costs. Ensure the content is completely original, avoids generic filler, and contains no repeated phrasing or duplicate templates across rows."")"),"&lt;h2&gt;Chihuahua Puppies Care Guide and Maintenance Costs in Koramangala, Bangalore&lt;/h2&gt; Caring for a Chihuahua puppy in the energetic neighborhood of Koramangala, Bangalore requires consistent wellness management suited to modern urban apartment living. To "&amp;"keep your toy breed thriving near 80 Feet Road and Sony World Junction, prioritize nutrient-dense food formulated for small breeds, routine oral hygiene to combat early dental issues, and daily indoor exercise paired with brief walks in quieter residentia"&amp;"l pockets. High-density living and local climate conditions necessitate regular tick and flea preventive care, up-to-date vaccinations, and proactive hydration monitoring to avoid hypoglycemia. On average, annual maintenance costs for a Chihuahua puppy in"&amp;" Koramangala range between ₹15,000 and ₹35,000, which accounts for high-quality nutrition, periodic veterinary checkups, routine deworming, immunizations, and professional grooming services.")</f>
        <v>&lt;h2&gt;Chihuahua Puppies Care Guide and Maintenance Costs in Koramangala, Bangalore&lt;/h2&gt; Caring for a Chihuahua puppy in the energetic neighborhood of Koramangala, Bangalore requires consistent wellness management suited to modern urban apartment living. To keep your toy breed thriving near 80 Feet Road and Sony World Junction, prioritize nutrient-dense food formulated for small breeds, routine oral hygiene to combat early dental issues, and daily indoor exercise paired with brief walks in quieter residential pockets. High-density living and local climate conditions necessitate regular tick and flea preventive care, up-to-date vaccinations, and proactive hydration monitoring to avoid hypoglycemia. On average, annual maintenance costs for a Chihuahua puppy in Koramangala range between ₹15,000 and ₹35,000, which accounts for high-quality nutrition, periodic veterinary checkups, routine deworming, immunizations, and professional grooming services.</v>
      </c>
      <c r="K4" s="2" t="str">
        <f ca="1">IFERROR(__xludf.DUMMYFUNCTION("AI(""Write 3 unique FAQs in HTML format for "" &amp; A4 &amp; "" in "" &amp; B4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Koramangala, Bangalore - FAQs&lt;/h2&gt;&lt;h3&gt;What local pet laws and BBMP guidelines affect dog owners in Koramangala?&lt;/h3&gt;&lt;p&gt;Residents near 80 Feet Road and Jyoti Nivas College Road must register their pets with BBMP, maintain mandatory"&amp;" rabies vaccinations, and follow apartment association rules. To support ethical pet care or explore rehoming, consider supporting local &lt;a href=""https://www.peopleforanimalsindia.org""&gt;animal welfare groups&lt;/a&gt; in Bengaluru.&lt;/p&gt;&lt;h3&gt;How do I find trusted"&amp;" veterinary care for toy breeds around Sony World Junction?&lt;/h3&gt;&lt;p&gt;Koramangala features specialized veterinary clinics equipped for toy breed health checks, dental cleanings, and emergency care near Forum Mall. If you encounter illegal breeding or suspect"&amp;"ed cruelty in the area, report it to &lt;a href=""https://www.petaindia.com""&gt;animal rights protection organizations&lt;/a&gt; immediately.&lt;/p&gt;&lt;h3&gt;Is Koramangala suitable for raising a Chihuahua puppy in a high-rise apartment?&lt;/h3&gt;&lt;p&gt;Yes, Koramangala's modern apar"&amp;"tment complexes are ideal for toy breeds due to their minimal space requirements. Short, controlled walks around quieter residential blocks off 100 Feet Road alongside regular indoor enrichment ensure your puppy stays active and mentally stimulated.&lt;/p&gt;")</f>
        <v>&lt;h2&gt;Chihuahua Puppies in Koramangala, Bangalore - FAQs&lt;/h2&gt;&lt;h3&gt;What local pet laws and BBMP guidelines affect dog owners in Koramangala?&lt;/h3&gt;&lt;p&gt;Residents near 80 Feet Road and Jyoti Nivas College Road must register their pets with BBMP, maintain mandatory rabies vaccinations, and follow apartment association rules. To support ethical pet care or explore rehoming, consider supporting local &lt;a href="https://www.peopleforanimalsindia.org"&gt;animal welfare groups&lt;/a&gt; in Bengaluru.&lt;/p&gt;&lt;h3&gt;How do I find trusted veterinary care for toy breeds around Sony World Junction?&lt;/h3&gt;&lt;p&gt;Koramangala features specialized veterinary clinics equipped for toy breed health checks, dental cleanings, and emergency care near Forum Mall. If you encounter illegal breeding or suspected cruelty in the area, report it to &lt;a href="https://www.petaindia.com"&gt;animal rights protection organizations&lt;/a&gt; immediately.&lt;/p&gt;&lt;h3&gt;Is Koramangala suitable for raising a Chihuahua puppy in a high-rise apartment?&lt;/h3&gt;&lt;p&gt;Yes, Koramangala's modern apartment complexes are ideal for toy breeds due to their minimal space requirements. Short, controlled walks around quieter residential blocks off 100 Feet Road alongside regular indoor enrichment ensure your puppy stays active and mentally stimulated.&lt;/p&gt;</v>
      </c>
    </row>
    <row r="5" spans="1:11" x14ac:dyDescent="0.25">
      <c r="A5" s="2" t="s">
        <v>36</v>
      </c>
      <c r="B5" s="2" t="s">
        <v>12</v>
      </c>
      <c r="C5" s="2" t="s">
        <v>37</v>
      </c>
      <c r="D5" s="2" t="s">
        <v>38</v>
      </c>
      <c r="E5" s="2" t="s">
        <v>39</v>
      </c>
      <c r="F5" s="2" t="s">
        <v>40</v>
      </c>
      <c r="G5" s="2" t="s">
        <v>41</v>
      </c>
      <c r="H5" s="2" t="s">
        <v>42</v>
      </c>
      <c r="I5" s="2" t="s">
        <v>43</v>
      </c>
      <c r="J5" s="2" t="str">
        <f ca="1">IFERROR(__xludf.DUMMYFUNCTION("AI(""Act as an expert copywriter and automotive maintenance specialist. Write a unique, 1-paragraph care guide and maintenance cost breakdown for "" &amp; A5 &amp; "" located in "" &amp; B5 &amp; "". Start the output directly with an HTML h2 heading containing the vehicl"&amp;"e/service name and location (e.g., &lt;h2&gt;"" &amp; A5 &amp; "" Care Guide and Maintenance Costs in "" &amp; B5 &amp; ""&lt;/h2&gt;). Follow the heading with exactly one detailed paragraph of expert-level advice covering preventive maintenance routines, common local wear-and-tear "&amp;"factors specific to "" &amp; B5 &amp; "", and estimated servicing costs. Ensure the content is completely original, avoids generic filler, and contains no repeated phrasing or duplicate templates across rows."")"),"&lt;h2&gt;Chihuahua Puppies Care Guide and Maintenance Costs in HSR Layout, Bangalore&lt;/h2&gt; Caring for a Chihuahua puppy in HSR Layout requires a tailored wellness and maintenance routine suitable for South Bengaluru's active residential hubs. To maintain peak p"&amp;"hysical health, provide high-protein toy-breed nutrition, encourage daily indoor play, and maintain vigilant dental hygiene to guard against early periodontal issues. Navigating bustling sectors near 27th Main Road and the Outer Ring Road introduces expos"&amp;"ure to urban dust, traffic noise, and seasonal humidity, requiring regular coat grooming, proactive tick prevention, and reliable indoor climate control to keep delicate toy breeds comfortable. On average, annual care and maintenance costs in HSR Layout r"&amp;"ange between ₹15,000 and ₹35,000, encompassing premium puppy kibble, routine veterinary checkups, core vaccinations, deworming treatments, and periodic professional grooming services.")</f>
        <v>&lt;h2&gt;Chihuahua Puppies Care Guide and Maintenance Costs in HSR Layout, Bangalore&lt;/h2&gt; Caring for a Chihuahua puppy in HSR Layout requires a tailored wellness and maintenance routine suitable for South Bengaluru's active residential hubs. To maintain peak physical health, provide high-protein toy-breed nutrition, encourage daily indoor play, and maintain vigilant dental hygiene to guard against early periodontal issues. Navigating bustling sectors near 27th Main Road and the Outer Ring Road introduces exposure to urban dust, traffic noise, and seasonal humidity, requiring regular coat grooming, proactive tick prevention, and reliable indoor climate control to keep delicate toy breeds comfortable. On average, annual care and maintenance costs in HSR Layout range between ₹15,000 and ₹35,000, encompassing premium puppy kibble, routine veterinary checkups, core vaccinations, deworming treatments, and periodic professional grooming services.</v>
      </c>
      <c r="K5" s="2" t="str">
        <f ca="1">IFERROR(__xludf.DUMMYFUNCTION("AI(""Write 3 unique FAQs in HTML format for "" &amp; A5 &amp; "" in "" &amp; B5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HSR Layout, Bangalore - FAQs&lt;/h2&gt;&lt;h3&gt;What BBMP registration mandates apply to Chihuahua puppies in HSR Layout?&lt;/h3&gt;&lt;p&gt;Pet owners along 27th Main and Outer Ring Road must obtain an annual BBMP pet license, register microchip detail"&amp;"s, and maintain current rabies immunizations. Before bringing home a puppy, consider reviewing local adoption guidelines or reaching out to &lt;a href=""https://www.peopleforanimalsindia.org""&gt;rescue organizations&lt;/a&gt; for alternative placement options.&lt;/p&gt;&lt;h"&amp;"3&gt;Where can I find veterinary care for toy breeds around Agara Lake and HSR Layout?&lt;/h3&gt;&lt;p&gt;Several veterinary clinics across Sectors 1 to 7 offer specialized care, dental checkups, and routine vaccinations for small dogs. If you observe unauthorized breed"&amp;"ing operations or animal mistreatment near local residential sectors, contact &lt;a href=""https://www.petaindia.com""&gt;cruelty prevention advocates&lt;/a&gt; to submit a report.&lt;/p&gt;&lt;h3&gt;How well do Chihuahua puppies adapt to high-rise apartment living in HSR Layout"&amp;"?&lt;/h3&gt;&lt;p&gt;Chihuahuas thrive in apartment environments due to their compact size and low outdoor space requirements. Regular indoor mental engagement along with brief, controlled walks near Agara Lake or quieter residential streets in Sector 3 ensures prope"&amp;"r exercise and socialization.&lt;/p&gt;")</f>
        <v>&lt;h2&gt;Chihuahua Puppies in HSR Layout, Bangalore - FAQs&lt;/h2&gt;&lt;h3&gt;What BBMP registration mandates apply to Chihuahua puppies in HSR Layout?&lt;/h3&gt;&lt;p&gt;Pet owners along 27th Main and Outer Ring Road must obtain an annual BBMP pet license, register microchip details, and maintain current rabies immunizations. Before bringing home a puppy, consider reviewing local adoption guidelines or reaching out to &lt;a href="https://www.peopleforanimalsindia.org"&gt;rescue organizations&lt;/a&gt; for alternative placement options.&lt;/p&gt;&lt;h3&gt;Where can I find veterinary care for toy breeds around Agara Lake and HSR Layout?&lt;/h3&gt;&lt;p&gt;Several veterinary clinics across Sectors 1 to 7 offer specialized care, dental checkups, and routine vaccinations for small dogs. If you observe unauthorized breeding operations or animal mistreatment near local residential sectors, contact &lt;a href="https://www.petaindia.com"&gt;cruelty prevention advocates&lt;/a&gt; to submit a report.&lt;/p&gt;&lt;h3&gt;How well do Chihuahua puppies adapt to high-rise apartment living in HSR Layout?&lt;/h3&gt;&lt;p&gt;Chihuahuas thrive in apartment environments due to their compact size and low outdoor space requirements. Regular indoor mental engagement along with brief, controlled walks near Agara Lake or quieter residential streets in Sector 3 ensures proper exercise and socialization.&lt;/p&gt;</v>
      </c>
    </row>
    <row r="6" spans="1:11" x14ac:dyDescent="0.25">
      <c r="A6" s="2" t="s">
        <v>44</v>
      </c>
      <c r="B6" s="2" t="s">
        <v>12</v>
      </c>
      <c r="C6" s="2" t="s">
        <v>45</v>
      </c>
      <c r="D6" s="2" t="s">
        <v>46</v>
      </c>
      <c r="E6" s="2" t="s">
        <v>45</v>
      </c>
      <c r="F6" s="2" t="s">
        <v>47</v>
      </c>
      <c r="G6" s="2" t="s">
        <v>48</v>
      </c>
      <c r="H6" s="2" t="s">
        <v>49</v>
      </c>
      <c r="I6" s="2" t="s">
        <v>50</v>
      </c>
      <c r="J6" s="2" t="str">
        <f ca="1">IFERROR(__xludf.DUMMYFUNCTION("AI(""Act as an expert copywriter and automotive maintenance specialist. Write a unique, 1-paragraph care guide and maintenance cost breakdown for "" &amp; A6 &amp; "" located in "" &amp; B6 &amp; "". Start the output directly with an HTML h2 heading containing the vehicl"&amp;"e/service name and location (e.g., &lt;h2&gt;"" &amp; A6 &amp; "" Care Guide and Maintenance Costs in "" &amp; B6 &amp; ""&lt;/h2&gt;). Follow the heading with exactly one detailed paragraph of expert-level advice covering preventive maintenance routines, common local wear-and-tear "&amp;"factors specific to "" &amp; B6 &amp; "", and estimated servicing costs. Ensure the content is completely original, avoids generic filler, and contains no repeated phrasing or duplicate templates across rows."")"),"&lt;h2&gt;Chihuahua Puppies Care Guide and Maintenance Costs in Jayanagar, Bangalore&lt;/h2&gt;Caring for a Chihuahua puppy in Jayanagar requires a consistent health and wellness routine adapted to South Bengaluru's residential environment. To support optimal growth "&amp;"and long-term vitality, provide high-quality toy-breed nutrition, implement strict daily dental hygiene to prevent early periodontal issues, and ensure gentle daily exercise with controlled walks around Madhavan Park or peaceful residential avenues near 4"&amp;"th Block. Navigating local urban conditions means safeguarding your small pet against seasonal humidity, mosquito exposure, and pavement heat during peak hours, making regular tick control, hydration, and gentle coats for cooler evenings essential. Annual"&amp;" maintenance costs in Jayanagar typically average between ₹15,000 and ₹35,000, which encompasses premium puppy food, routine veterinary consultations, mandatory vaccinations, periodic deworming, and professional grooming services.")</f>
        <v>&lt;h2&gt;Chihuahua Puppies Care Guide and Maintenance Costs in Jayanagar, Bangalore&lt;/h2&gt;Caring for a Chihuahua puppy in Jayanagar requires a consistent health and wellness routine adapted to South Bengaluru's residential environment. To support optimal growth and long-term vitality, provide high-quality toy-breed nutrition, implement strict daily dental hygiene to prevent early periodontal issues, and ensure gentle daily exercise with controlled walks around Madhavan Park or peaceful residential avenues near 4th Block. Navigating local urban conditions means safeguarding your small pet against seasonal humidity, mosquito exposure, and pavement heat during peak hours, making regular tick control, hydration, and gentle coats for cooler evenings essential. Annual maintenance costs in Jayanagar typically average between ₹15,000 and ₹35,000, which encompasses premium puppy food, routine veterinary consultations, mandatory vaccinations, periodic deworming, and professional grooming services.</v>
      </c>
      <c r="K6" s="2" t="str">
        <f ca="1">IFERROR(__xludf.DUMMYFUNCTION("AI(""Write 3 unique FAQs in HTML format for "" &amp; A6 &amp; "" in "" &amp; B6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Jayanagar, Bangalore - FAQs&lt;/h2&gt;&lt;h3&gt;What municipal BBMP pet licensing laws apply to Chihuahua owners in Jayanagar?&lt;/h3&gt;&lt;p&gt;Residents around 4th Block Shopping Complex and South End Circle must register their dogs annually with the "&amp;"BBMP, ensure valid rabies immunizations, and implant a microchip. Before purchasing a pup, consider exploring ethical sourcing or connecting with &lt;a href=""https://www.peopleforanimalsindia.org""&gt;local adoption guidelines&lt;/a&gt; to find shelter animals in ne"&amp;"ed.&lt;/p&gt;&lt;h3&gt;Where can I find veterinary facilities for toy breeds around Jayanagar?&lt;/h3&gt;&lt;p&gt;Experienced pet clinics located near Madhavan Park and Kanakapura Road provide specialized pediatric care, dental checkups, and vaccinations for small breeds. If you"&amp;" encounter suspected unlicensed breeding or animal abuse, report it to &lt;a href=""https://www.petaindia.com""&gt;cruelty reporting networks&lt;/a&gt; for swift action.&lt;/p&gt;&lt;h3&gt;How do I care for a young Chihuahua in South Bengaluru's environment?&lt;/h3&gt;&lt;p&gt;Ensure your p"&amp;"uppy stays hydrated during warm afternoons, avoids hot pavement near high-traffic avenues, and receives routine indoor exercise paired with brief walks in quiet residential lanes across Jayanagar.&lt;/p&gt;")</f>
        <v>&lt;h2&gt;Chihuahua Puppies in Jayanagar, Bangalore - FAQs&lt;/h2&gt;&lt;h3&gt;What municipal BBMP pet licensing laws apply to Chihuahua owners in Jayanagar?&lt;/h3&gt;&lt;p&gt;Residents around 4th Block Shopping Complex and South End Circle must register their dogs annually with the BBMP, ensure valid rabies immunizations, and implant a microchip. Before purchasing a pup, consider exploring ethical sourcing or connecting with &lt;a href="https://www.peopleforanimalsindia.org"&gt;local adoption guidelines&lt;/a&gt; to find shelter animals in need.&lt;/p&gt;&lt;h3&gt;Where can I find veterinary facilities for toy breeds around Jayanagar?&lt;/h3&gt;&lt;p&gt;Experienced pet clinics located near Madhavan Park and Kanakapura Road provide specialized pediatric care, dental checkups, and vaccinations for small breeds. If you encounter suspected unlicensed breeding or animal abuse, report it to &lt;a href="https://www.petaindia.com"&gt;cruelty reporting networks&lt;/a&gt; for swift action.&lt;/p&gt;&lt;h3&gt;How do I care for a young Chihuahua in South Bengaluru's environment?&lt;/h3&gt;&lt;p&gt;Ensure your puppy stays hydrated during warm afternoons, avoids hot pavement near high-traffic avenues, and receives routine indoor exercise paired with brief walks in quiet residential lanes across Jayanagar.&lt;/p&gt;</v>
      </c>
    </row>
    <row r="7" spans="1:11" x14ac:dyDescent="0.25">
      <c r="A7" s="2" t="s">
        <v>51</v>
      </c>
      <c r="B7" s="2" t="s">
        <v>12</v>
      </c>
      <c r="C7" s="2" t="s">
        <v>52</v>
      </c>
      <c r="D7" s="2" t="s">
        <v>53</v>
      </c>
      <c r="E7" s="2" t="s">
        <v>52</v>
      </c>
      <c r="F7" s="2" t="s">
        <v>54</v>
      </c>
      <c r="G7" s="2" t="s">
        <v>55</v>
      </c>
      <c r="H7" s="2" t="s">
        <v>56</v>
      </c>
      <c r="I7" s="2" t="s">
        <v>57</v>
      </c>
      <c r="J7" s="2" t="str">
        <f ca="1">IFERROR(__xludf.DUMMYFUNCTION("AI(""Act as an expert copywriter and automotive maintenance specialist. Write a unique, 1-paragraph care guide and maintenance cost breakdown for "" &amp; A7 &amp; "" located in "" &amp; B7 &amp; "". Start the output directly with an HTML h2 heading containing the vehicl"&amp;"e/service name and location (e.g., &lt;h2&gt;"" &amp; A7 &amp; "" Care Guide and Maintenance Costs in "" &amp; B7 &amp; ""&lt;/h2&gt;). Follow the heading with exactly one detailed paragraph of expert-level advice covering preventive maintenance routines, common local wear-and-tear "&amp;"factors specific to "" &amp; B7 &amp; "", and estimated servicing costs. Ensure the content is completely original, avoids generic filler, and contains no repeated phrasing or duplicate templates across rows."")"),"&lt;h2&gt;Chihuahua Puppies Care Guide and Maintenance Costs in JP Nagar, Bangalore&lt;/h2&gt;Caring for a Chihuahua puppy in JP Nagar requires a tailored wellness routine suited to South Bangalore's active residential environment. To ensure long-term health, focus o"&amp;"n high-protein nutrition specifically formulated for toy breeds, daily indoor play, and gentle evening strolls near Puttenahalli Lake or quiet residential avenues in Phases 1 through 9. Navigating apartment living near busy transit corridors like the 100 "&amp;"Feet Ring Road highlights the importance of consistent climate control, protective care during hot weather, strict dental hygiene, and regular tick prevention. On average, annual maintenance costs in JP Nagar range between ₹15,000 and ₹35,000, which cover"&amp;"s premium nutritional diets, routine veterinary checkups, core vaccinations, deworming schedules, and periodic grooming treatments.")</f>
        <v>&lt;h2&gt;Chihuahua Puppies Care Guide and Maintenance Costs in JP Nagar, Bangalore&lt;/h2&gt;Caring for a Chihuahua puppy in JP Nagar requires a tailored wellness routine suited to South Bangalore's active residential environment. To ensure long-term health, focus on high-protein nutrition specifically formulated for toy breeds, daily indoor play, and gentle evening strolls near Puttenahalli Lake or quiet residential avenues in Phases 1 through 9. Navigating apartment living near busy transit corridors like the 100 Feet Ring Road highlights the importance of consistent climate control, protective care during hot weather, strict dental hygiene, and regular tick prevention. On average, annual maintenance costs in JP Nagar range between ₹15,000 and ₹35,000, which covers premium nutritional diets, routine veterinary checkups, core vaccinations, deworming schedules, and periodic grooming treatments.</v>
      </c>
      <c r="K7" s="2" t="str">
        <f ca="1">IFERROR(__xludf.DUMMYFUNCTION("AI(""Write 3 unique FAQs in HTML format for "" &amp; A7 &amp; "" in "" &amp; B7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JP Nagar, Bangalore - FAQs&lt;/h2&gt;&lt;h3&gt;What local municipal regulations apply to owning a Chihuahua in JP Nagar?&lt;/h3&gt;&lt;p&gt;Pet owners along 100 Feet Ring Road and near Puttenahalli Lake must adhere to BBMP guidelines, including microchip"&amp;"ping, rabies vaccinations, and obtaining an official pet license. Consider reviewing &lt;a href=""https://www.peopleforanimalsindia.org""&gt;local animal shelter adoption programs&lt;/a&gt; before deciding to buy a pup.&lt;/p&gt;&lt;h3&gt;Where can I find specialized vet care fo"&amp;"r small breeds near JP Nagar?&lt;/h3&gt;&lt;p&gt;Veterinary clinics near 100 Feet Ring Road and the Green Line Metro Station offer complete health checks and dental care tailored for toy breeds. If you witness unethical breeding practices or pet abuse in South Bangal"&amp;"ore, report it through &lt;a href=""https://www.petaindia.com""&gt;animal rights protection channels&lt;/a&gt;.&lt;/p&gt;&lt;h3&gt;Are Chihuahua puppies suitable for high-rise apartment living in JP Nagar Phases 1 to 9?&lt;/h3&gt;&lt;p&gt;Yes, Chihuahuas thrive in compact apartment environm"&amp;"ents across JP Nagar. Gentle evening walks around quiet residential avenues and regular indoor play easily fulfill their daily activity requirements.&lt;/p&gt;")</f>
        <v>&lt;h2&gt;Chihuahua Puppies in JP Nagar, Bangalore - FAQs&lt;/h2&gt;&lt;h3&gt;What local municipal regulations apply to owning a Chihuahua in JP Nagar?&lt;/h3&gt;&lt;p&gt;Pet owners along 100 Feet Ring Road and near Puttenahalli Lake must adhere to BBMP guidelines, including microchipping, rabies vaccinations, and obtaining an official pet license. Consider reviewing &lt;a href="https://www.peopleforanimalsindia.org"&gt;local animal shelter adoption programs&lt;/a&gt; before deciding to buy a pup.&lt;/p&gt;&lt;h3&gt;Where can I find specialized vet care for small breeds near JP Nagar?&lt;/h3&gt;&lt;p&gt;Veterinary clinics near 100 Feet Ring Road and the Green Line Metro Station offer complete health checks and dental care tailored for toy breeds. If you witness unethical breeding practices or pet abuse in South Bangalore, report it through &lt;a href="https://www.petaindia.com"&gt;animal rights protection channels&lt;/a&gt;.&lt;/p&gt;&lt;h3&gt;Are Chihuahua puppies suitable for high-rise apartment living in JP Nagar Phases 1 to 9?&lt;/h3&gt;&lt;p&gt;Yes, Chihuahuas thrive in compact apartment environments across JP Nagar. Gentle evening walks around quiet residential avenues and regular indoor play easily fulfill their daily activity requirements.&lt;/p&gt;</v>
      </c>
    </row>
    <row r="8" spans="1:11" x14ac:dyDescent="0.25">
      <c r="A8" s="2" t="s">
        <v>58</v>
      </c>
      <c r="B8" s="2" t="s">
        <v>12</v>
      </c>
      <c r="C8" s="2" t="s">
        <v>59</v>
      </c>
      <c r="D8" s="2" t="s">
        <v>60</v>
      </c>
      <c r="E8" s="2" t="s">
        <v>61</v>
      </c>
      <c r="F8" s="2" t="s">
        <v>62</v>
      </c>
      <c r="G8" s="2" t="s">
        <v>63</v>
      </c>
      <c r="H8" s="2" t="s">
        <v>64</v>
      </c>
      <c r="I8" s="2" t="s">
        <v>65</v>
      </c>
      <c r="J8" s="2" t="str">
        <f ca="1">IFERROR(__xludf.DUMMYFUNCTION("AI(""Act as an expert copywriter and automotive maintenance specialist. Write a unique, 1-paragraph care guide and maintenance cost breakdown for "" &amp; A8 &amp; "" located in "" &amp; B8 &amp; "". Start the output directly with an HTML h2 heading containing the vehicl"&amp;"e/service name and location (e.g., &lt;h2&gt;"" &amp; A8 &amp; "" Care Guide and Maintenance Costs in "" &amp; B8 &amp; ""&lt;/h2&gt;). Follow the heading with exactly one detailed paragraph of expert-level advice covering preventive maintenance routines, common local wear-and-tear "&amp;"factors specific to "" &amp; B8 &amp; "", and estimated servicing costs. Ensure the content is completely original, avoids generic filler, and contains no repeated phrasing or duplicate templates across rows."")"),"&lt;h2&gt;Chihuahua Puppies Care Guide and Maintenance Costs in Malleshwaram, Bangalore&lt;/h2&gt; Caring for a Chihuahua puppy in Malleshwaram's historic residential avenues requires an attentive wellness routine adapted to classic urban living. To ensure optimal he"&amp;"alth, provide nutrient-dense food tailored for toy breeds, daily indoor activity alongside gentle walks around Sankey Tank or Margosa Road, and routine dental hygiene to prevent early tooth loss. Navigating busy neighborhood streets near 8th Cross exposes"&amp;" small puppies to urban dust, heat variations, and loud crowds, emphasizing the need for proper hydration, tick prophylaxis, and routine grooming. On average, annual maintenance costs in Malleshwaram range between ₹15,000 and ₹35,000, covering quality pup"&amp;"py food, routine veterinary consultations, core vaccinations, deworming, and periodic grooming treatments.")</f>
        <v>&lt;h2&gt;Chihuahua Puppies Care Guide and Maintenance Costs in Malleshwaram, Bangalore&lt;/h2&gt; Caring for a Chihuahua puppy in Malleshwaram's historic residential avenues requires an attentive wellness routine adapted to classic urban living. To ensure optimal health, provide nutrient-dense food tailored for toy breeds, daily indoor activity alongside gentle walks around Sankey Tank or Margosa Road, and routine dental hygiene to prevent early tooth loss. Navigating busy neighborhood streets near 8th Cross exposes small puppies to urban dust, heat variations, and loud crowds, emphasizing the need for proper hydration, tick prophylaxis, and routine grooming. On average, annual maintenance costs in Malleshwaram range between ₹15,000 and ₹35,000, covering quality puppy food, routine veterinary consultations, core vaccinations, deworming, and periodic grooming treatments.</v>
      </c>
      <c r="K8" s="2" t="str">
        <f ca="1">IFERROR(__xludf.DUMMYFUNCTION("AI(""Write 3 unique FAQs in HTML format for "" &amp; A8 &amp; "" in "" &amp; B8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Malleshwaram, Bangalore - FAQs&lt;/h2&gt;&lt;h3&gt;What municipal rules and BBMP licensing apply to Chihuahua owners in Malleshwaram?&lt;/h3&gt;&lt;p&gt;Pet owners along Sampige Road and Margosa Road must register their dogs for a BBMP pet license, maint"&amp;"ain microchip records, and ensure timely rabies vaccinations. Before buying, review ethical sourcing practices or connect with &lt;a href=""https://www.peopleforanimalsindia.org""&gt;animal welfare organizations&lt;/a&gt; to explore local adoption guidelines.&lt;/p&gt;&lt;h3&gt;"&amp;"Where can I find reliable nearby vet care for toy breeds around Sampige Road?&lt;/h3&gt;&lt;p&gt;Veterinary clinics near Mantri Square and 8th Cross Market offer specialized care, dental health checks, and routine vaccinations for small dogs. If you observe unethical"&amp;" breeding practices or cruelty near commercial hubs, reach out to &lt;a href=""https://www.petaindia.com""&gt;cruelty reporting networks&lt;/a&gt; to submit a report.&lt;/p&gt;&lt;h3&gt;How well do Chihuahua puppies adapt to home living in historic Malleshwaram?&lt;/h3&gt;&lt;p&gt;Chihuahua"&amp;"s adapt exceptionally well to classic North Bengaluru apartments due to their modest space requirements. Regular indoor activities paired with short morning walks near Sankey Tank provide ideal physical and mental stimulation.&lt;/p&gt;")</f>
        <v>&lt;h2&gt;Chihuahua Puppies in Malleshwaram, Bangalore - FAQs&lt;/h2&gt;&lt;h3&gt;What municipal rules and BBMP licensing apply to Chihuahua owners in Malleshwaram?&lt;/h3&gt;&lt;p&gt;Pet owners along Sampige Road and Margosa Road must register their dogs for a BBMP pet license, maintain microchip records, and ensure timely rabies vaccinations. Before buying, review ethical sourcing practices or connect with &lt;a href="https://www.peopleforanimalsindia.org"&gt;animal welfare organizations&lt;/a&gt; to explore local adoption guidelines.&lt;/p&gt;&lt;h3&gt;Where can I find reliable nearby vet care for toy breeds around Sampige Road?&lt;/h3&gt;&lt;p&gt;Veterinary clinics near Mantri Square and 8th Cross Market offer specialized care, dental health checks, and routine vaccinations for small dogs. If you observe unethical breeding practices or cruelty near commercial hubs, reach out to &lt;a href="https://www.petaindia.com"&gt;cruelty reporting networks&lt;/a&gt; to submit a report.&lt;/p&gt;&lt;h3&gt;How well do Chihuahua puppies adapt to home living in historic Malleshwaram?&lt;/h3&gt;&lt;p&gt;Chihuahuas adapt exceptionally well to classic North Bengaluru apartments due to their modest space requirements. Regular indoor activities paired with short morning walks near Sankey Tank provide ideal physical and mental stimulation.&lt;/p&gt;</v>
      </c>
    </row>
    <row r="9" spans="1:11" x14ac:dyDescent="0.25">
      <c r="A9" s="2" t="s">
        <v>66</v>
      </c>
      <c r="B9" s="2" t="s">
        <v>12</v>
      </c>
      <c r="C9" s="2" t="s">
        <v>67</v>
      </c>
      <c r="D9" s="2" t="s">
        <v>68</v>
      </c>
      <c r="E9" s="2" t="s">
        <v>69</v>
      </c>
      <c r="F9" s="2" t="s">
        <v>70</v>
      </c>
      <c r="G9" s="2" t="s">
        <v>71</v>
      </c>
      <c r="H9" s="2" t="s">
        <v>72</v>
      </c>
      <c r="I9" s="2" t="s">
        <v>73</v>
      </c>
      <c r="J9" s="2" t="str">
        <f ca="1">IFERROR(__xludf.DUMMYFUNCTION("AI(""Act as an expert copywriter and automotive maintenance specialist. Write a unique, 1-paragraph care guide and maintenance cost breakdown for "" &amp; A9 &amp; "" located in "" &amp; B9 &amp; "". Start the output directly with an HTML h2 heading containing the vehicl"&amp;"e/service name and location (e.g., &lt;h2&gt;"" &amp; A9 &amp; "" Care Guide and Maintenance Costs in "" &amp; B9 &amp; ""&lt;/h2&gt;). Follow the heading with exactly one detailed paragraph of expert-level advice covering preventive maintenance routines, common local wear-and-tear "&amp;"factors specific to "" &amp; B9 &amp; "", and estimated servicing costs. Ensure the content is completely original, avoids generic filler, and contains no repeated phrasing or duplicate templates across rows."")"),"&lt;h2&gt;Chihuahua Puppies Care Guide and Maintenance Costs in Whitefield, Bangalore&lt;/h2&gt;
Caring for a Chihuahua puppy in East Bengaluru's IT corridor of Whitefield requires a dedicated routine adapted to modern high-rise apartment living. To foster optimal de"&amp;"velopment, provide high-quality toy-breed nutrition, routine dental care, and managed indoor exercise supplemented with short walks near ITPL Main Road or Borewell Road during cooler hours. Navigating suburban construction dust, seasonal humidity, and hig"&amp;"h-density residential surroundings requires consistent tick and flea treatments, air filtration indoors, and regular coat grooming. On average, annual maintenance costs in Whitefield range from ₹18,000 to ₹40,000, covering premium puppy food, routine vete"&amp;"rinary health assessments, vaccinations, deworming, and professional grooming services.")</f>
        <v>&lt;h2&gt;Chihuahua Puppies Care Guide and Maintenance Costs in Whitefield, Bangalore&lt;/h2&gt;
Caring for a Chihuahua puppy in East Bengaluru's IT corridor of Whitefield requires a dedicated routine adapted to modern high-rise apartment living. To foster optimal development, provide high-quality toy-breed nutrition, routine dental care, and managed indoor exercise supplemented with short walks near ITPL Main Road or Borewell Road during cooler hours. Navigating suburban construction dust, seasonal humidity, and high-density residential surroundings requires consistent tick and flea treatments, air filtration indoors, and regular coat grooming. On average, annual maintenance costs in Whitefield range from ₹18,000 to ₹40,000, covering premium puppy food, routine veterinary health assessments, vaccinations, deworming, and professional grooming services.</v>
      </c>
      <c r="K9" s="2" t="str">
        <f ca="1">IFERROR(__xludf.DUMMYFUNCTION("AI(""Write 3 unique FAQs in HTML format for "" &amp; A9 &amp; "" in "" &amp; B9 &amp; "". 
Requirements:
1. Start the output with an &lt;h2&gt; heading containing the location and topic.
2. Incorporate semantic and hyperlocal keywords naturally (e.g., local adoption guidelines"&amp;", area-specific animal welfare laws, nearby vet care).
3. Embed HTML anchor text links pointing strictly to https://www.peopleforanimalsindia.org on animal welfare/rescue keywords and https://www.petaindia.com on animal rights/cruelty reporting keywords. "&amp;"Do not reuse the same link anchor text.
4. Ensure absolute uniqueness: do not use generic filler sentences, repeated phrasing, or duplicate structures across rows. 
5. Output valid HTML code only (using &lt;h3&gt; for questions and &lt;p&gt; for answers)."")"),"&lt;h2&gt;Chihuahua Puppies in Whitefield, Bangalore - FAQs&lt;/h2&gt;&lt;h3&gt;What municipal rules apply to buying a Chihuahua puppy in Whitefield?&lt;/h3&gt;&lt;p&gt;Pet owners in the ITPL and Hope Farm Junction areas must comply with BBMP pet licensing rules by obtaining annual pe"&amp;"rmits, maintaining updated rabies vaccination records, and adhering to local adoption guidelines. Consider checking ethical &lt;a href=""https://www.peopleforanimalsindia.org""&gt;animal rescue organization listings&lt;/a&gt; before finalizing any purchase.&lt;/p&gt;&lt;h3&gt;Wh"&amp;"ere can I locate specialized veterinary care for toy breeds around ITPL Main Road?&lt;/h3&gt;&lt;p&gt;High-standard veterinary facilities along Borewell Road and the Purple Line metro corridor offer pediatric health screenings, dental management, and vaccination sche"&amp;"dules. If you encounter illegal puppy breeding or unethical treatment, notify &lt;a href=""https://www.petaindia.com""&gt;cruelty prevention groups&lt;/a&gt; immediately.&lt;/p&gt;&lt;h3&gt;How do Chihuahua puppies adjust to high-rise apartment living in Whitefield's tech corrid"&amp;"or?&lt;/h3&gt;&lt;p&gt;Chihuahuas thrive in high-rise apartments due to their tiny size. Providing indoor play zones and short walks near quieter residential pockets protects them from local dust and traffic while fulfilling their daily exercise requirements.&lt;/p&gt;")</f>
        <v>&lt;h2&gt;Chihuahua Puppies in Whitefield, Bangalore - FAQs&lt;/h2&gt;&lt;h3&gt;What municipal rules apply to buying a Chihuahua puppy in Whitefield?&lt;/h3&gt;&lt;p&gt;Pet owners in the ITPL and Hope Farm Junction areas must comply with BBMP pet licensing rules by obtaining annual permits, maintaining updated rabies vaccination records, and adhering to local adoption guidelines. Consider checking ethical &lt;a href="https://www.peopleforanimalsindia.org"&gt;animal rescue organization listings&lt;/a&gt; before finalizing any purchase.&lt;/p&gt;&lt;h3&gt;Where can I locate specialized veterinary care for toy breeds around ITPL Main Road?&lt;/h3&gt;&lt;p&gt;High-standard veterinary facilities along Borewell Road and the Purple Line metro corridor offer pediatric health screenings, dental management, and vaccination schedules. If you encounter illegal puppy breeding or unethical treatment, notify &lt;a href="https://www.petaindia.com"&gt;cruelty prevention groups&lt;/a&gt; immediately.&lt;/p&gt;&lt;h3&gt;How do Chihuahua puppies adjust to high-rise apartment living in Whitefield's tech corridor?&lt;/h3&gt;&lt;p&gt;Chihuahuas thrive in high-rise apartments due to their tiny size. Providing indoor play zones and short walks near quieter residential pockets protects them from local dust and traffic while fulfilling their daily exercise requirements.&lt;/p&gt;</v>
      </c>
    </row>
    <row r="10" spans="1:11" x14ac:dyDescent="0.25">
      <c r="A10" s="2" t="s">
        <v>74</v>
      </c>
      <c r="B10" s="2" t="s">
        <v>12</v>
      </c>
      <c r="C10" s="2" t="s">
        <v>75</v>
      </c>
      <c r="D10" s="2" t="s">
        <v>76</v>
      </c>
      <c r="E10" s="2" t="s">
        <v>77</v>
      </c>
      <c r="F10" s="2" t="s">
        <v>78</v>
      </c>
      <c r="G10" s="2" t="s">
        <v>79</v>
      </c>
      <c r="H10" s="2" t="s">
        <v>80</v>
      </c>
      <c r="I10" s="2" t="s">
        <v>81</v>
      </c>
      <c r="J10" s="2" t="str">
        <f ca="1">IFERROR(__xludf.DUMMYFUNCTION("AI(""Act as an expert copywriter and automotive maintenance specialist. Write a unique, 1-paragraph care guide and maintenance cost breakdown for "" &amp; A10 &amp; "" located in "" &amp; B10 &amp; "". Start the output directly with an HTML h2 heading containing the vehi"&amp;"cle/service name and location (e.g., &lt;h2&gt;"" &amp; A10 &amp; "" Care Guide and Maintenance Costs in "" &amp; B10 &amp; ""&lt;/h2&gt;). Follow the heading with exactly one detailed paragraph of expert-level advice covering preventive maintenance routines, common local wear-and-t"&amp;"ear factors specific to "" &amp; B10 &amp; "", and estimated servicing costs. Ensure the content is completely original, avoids generic filler, and contains no repeated phrasing or duplicate templates across rows."")"),"&lt;h2&gt;Chihuahua Puppies Care Guide and Maintenance Costs in Marathahalli, Bangalore&lt;/h2&gt; Caring for a Chihuahua puppy in East Bengaluru's tech hub of Marathahalli requires a structured wellness routine tailored to busy urban surroundings. To maintain optima"&amp;"l health, provide nutrient-rich food formulated specifically for small breeds, daily indoor play alongside controlled outdoor walks near quieter streets off Varthur Road, and vigilant oral hygiene to guard against early dental issues. Navigating busy zone"&amp;"s around Outer Ring Road and Marathahalli Bridge exposes young pups to environmental dust, traffic noise, and warm weather, making consistent climate control, coat brushing, and tick prevention essential. On average, annual maintenance costs in Marathahal"&amp;"li range between ₹15,000 and ₹35,000, covering premium puppy food, routine veterinary health checks, core vaccinations, regular deworming, and periodic professional grooming.")</f>
        <v>&lt;h2&gt;Chihuahua Puppies Care Guide and Maintenance Costs in Marathahalli, Bangalore&lt;/h2&gt; Caring for a Chihuahua puppy in East Bengaluru's tech hub of Marathahalli requires a structured wellness routine tailored to busy urban surroundings. To maintain optimal health, provide nutrient-rich food formulated specifically for small breeds, daily indoor play alongside controlled outdoor walks near quieter streets off Varthur Road, and vigilant oral hygiene to guard against early dental issues. Navigating busy zones around Outer Ring Road and Marathahalli Bridge exposes young pups to environmental dust, traffic noise, and warm weather, making consistent climate control, coat brushing, and tick prevention essential. On average, annual maintenance costs in Marathahalli range between ₹15,000 and ₹35,000, covering premium puppy food, routine veterinary health checks, core vaccinations, regular deworming, and periodic professional grooming.</v>
      </c>
      <c r="K10" s="2" t="str">
        <f ca="1">IFERROR(__xludf.DUMMYFUNCTION("AI(""Write 3 unique FAQs in HTML format for "" &amp; A10 &amp; "" in "" &amp; B10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Marathahalli, Bangalore - FAQs&lt;/h2&gt;&lt;h3&gt;What are the BBMP pet registration rules for Chihuahua owners in Marathahalli?&lt;/h3&gt;&lt;p&gt;Residents near Outer Ring Road and Prestige Tech Park bringing home a Chihuahua puppy must secure an annu"&amp;"al BBMP pet license, ensure complete microchipping, and keep rabies immunizations current. Prior to purchasing, check local pet care guidelines or reach out to &lt;a href=""https://www.peopleforanimalsindia.org""&gt;rescue and adoption centers&lt;/a&gt; to consider e"&amp;"thical alternatives.&lt;/p&gt;&lt;h3&gt;How do I report illegal dog breeding or pet abuse around Marathahalli?&lt;/h3&gt;&lt;p&gt;If you encounter uncertified breeders or inhumane conditions near Varthur Road or Marathahalli Bridge, report the issue to local municipal authoritie"&amp;"s and &lt;a href=""https://www.petaindia.com""&gt;cruelty prevention organizations&lt;/a&gt; to ensure animal protection laws are upheld.&lt;/p&gt;&lt;h3&gt;Where can I find veterinary care for toy breeds in the Marathahalli tech corridor?&lt;/h3&gt;&lt;p&gt;Multiple veterinary clinics near"&amp;" Kalamandir and along the Outer Ring Road specialize in small breed care, offering vaccinations, dental checkups, and routine wellness exams tailored for toy Chihuahuas.&lt;/p&gt;")</f>
        <v>&lt;h2&gt;Chihuahua Puppies in Marathahalli, Bangalore - FAQs&lt;/h2&gt;&lt;h3&gt;What are the BBMP pet registration rules for Chihuahua owners in Marathahalli?&lt;/h3&gt;&lt;p&gt;Residents near Outer Ring Road and Prestige Tech Park bringing home a Chihuahua puppy must secure an annual BBMP pet license, ensure complete microchipping, and keep rabies immunizations current. Prior to purchasing, check local pet care guidelines or reach out to &lt;a href="https://www.peopleforanimalsindia.org"&gt;rescue and adoption centers&lt;/a&gt; to consider ethical alternatives.&lt;/p&gt;&lt;h3&gt;How do I report illegal dog breeding or pet abuse around Marathahalli?&lt;/h3&gt;&lt;p&gt;If you encounter uncertified breeders or inhumane conditions near Varthur Road or Marathahalli Bridge, report the issue to local municipal authorities and &lt;a href="https://www.petaindia.com"&gt;cruelty prevention organizations&lt;/a&gt; to ensure animal protection laws are upheld.&lt;/p&gt;&lt;h3&gt;Where can I find veterinary care for toy breeds in the Marathahalli tech corridor?&lt;/h3&gt;&lt;p&gt;Multiple veterinary clinics near Kalamandir and along the Outer Ring Road specialize in small breed care, offering vaccinations, dental checkups, and routine wellness exams tailored for toy Chihuahuas.&lt;/p&gt;</v>
      </c>
    </row>
    <row r="11" spans="1:11" x14ac:dyDescent="0.25">
      <c r="A11" s="2" t="s">
        <v>82</v>
      </c>
      <c r="B11" s="2" t="s">
        <v>12</v>
      </c>
      <c r="C11" s="2" t="s">
        <v>83</v>
      </c>
      <c r="D11" s="2" t="s">
        <v>84</v>
      </c>
      <c r="E11" s="2" t="s">
        <v>85</v>
      </c>
      <c r="F11" s="2" t="s">
        <v>86</v>
      </c>
      <c r="G11" s="2" t="s">
        <v>87</v>
      </c>
      <c r="H11" s="2" t="s">
        <v>88</v>
      </c>
      <c r="I11" s="2" t="s">
        <v>89</v>
      </c>
      <c r="J11" s="2" t="str">
        <f ca="1">IFERROR(__xludf.DUMMYFUNCTION("AI(""Act as an expert copywriter and automotive maintenance specialist. Write a unique, 1-paragraph care guide and maintenance cost breakdown for "" &amp; A11 &amp; "" located in "" &amp; B11 &amp; "". Start the output directly with an HTML h2 heading containing the vehi"&amp;"cle/service name and location (e.g., &lt;h2&gt;"" &amp; A11 &amp; "" Care Guide and Maintenance Costs in "" &amp; B11 &amp; ""&lt;/h2&gt;). Follow the heading with exactly one detailed paragraph of expert-level advice covering preventive maintenance routines, common local wear-and-t"&amp;"ear factors specific to "" &amp; B11 &amp; "", and estimated servicing costs. Ensure the content is completely original, avoids generic filler, and contains no repeated phrasing or duplicate templates across rows."")"),"&lt;h2&gt;Chihuahua Puppies Care Guide and Maintenance Costs in Banashankari, Bangalore&lt;/h2&gt;Caring for a Chihuahua puppy in South Bengaluru's Banashankari neighborhood requires a structured health routine tailored to local urban living. To maintain optimal vita"&amp;"lity, ensure a nutrition-rich diet designed for small breeds, routine oral hygiene to avoid early dental issues, and controlled indoor play complemented by short, peaceful walks around quiet spots near Banashankari 3rd Stage or the BDA Complex. Navigating"&amp;" the warmer microclimate and busy residential zones of South Bengaluru means protecting your puppy against humidity-induced skin allergies, tick infestations, and stress from ambient traffic noise along the Outer Ring Road. On average, annual maintenance "&amp;"and care costs in Banashankari range from ₹15,000 to ₹35,000, which includes premium toy-breed food, preventive vaccinations, deworming schedules, periodic veterinary checkups, and routine grooming services.")</f>
        <v>&lt;h2&gt;Chihuahua Puppies Care Guide and Maintenance Costs in Banashankari, Bangalore&lt;/h2&gt;Caring for a Chihuahua puppy in South Bengaluru's Banashankari neighborhood requires a structured health routine tailored to local urban living. To maintain optimal vitality, ensure a nutrition-rich diet designed for small breeds, routine oral hygiene to avoid early dental issues, and controlled indoor play complemented by short, peaceful walks around quiet spots near Banashankari 3rd Stage or the BDA Complex. Navigating the warmer microclimate and busy residential zones of South Bengaluru means protecting your puppy against humidity-induced skin allergies, tick infestations, and stress from ambient traffic noise along the Outer Ring Road. On average, annual maintenance and care costs in Banashankari range from ₹15,000 to ₹35,000, which includes premium toy-breed food, preventive vaccinations, deworming schedules, periodic veterinary checkups, and routine grooming services.</v>
      </c>
      <c r="K11" s="2" t="str">
        <f ca="1">IFERROR(__xludf.DUMMYFUNCTION("AI(""Write 3 unique FAQs in HTML format for "" &amp; A11 &amp; "" in "" &amp; B11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Banashankari, Bangalore - FAQs&lt;/h2&gt;&lt;h3&gt;What municipal guidelines govern buying or adopting a Chihuahua puppy in Banashankari?&lt;/h3&gt;&lt;p&gt;Residents around Banashankari 3rd Stage and Kamakya Theatre must obtain a valid BBMP pet license,"&amp;" register their puppy's microchip, and keep core vaccinations current. Before buying, consider reviewing ethical breeding standards or reaching out to &lt;a href=""https://www.peopleforanimalsindia.org""&gt;local pet rescue organizations&lt;/a&gt; for adoption option"&amp;"s.&lt;/p&gt;&lt;h3&gt;How can I locate reliable veterinary care for toy breeds in Banashankari?&lt;/h3&gt;&lt;p&gt;Veterinary facilities near the BDA Complex and Banashankari TTMC offer specialized care for toy breeds, including dental checkups and preventive health plans. If yo"&amp;"u suspect unethical breeding practices or animal mistreatment near Outer Ring Road, report it through &lt;a href=""https://www.petaindia.com""&gt;cruelty prevention channels&lt;/a&gt;.&lt;/p&gt;&lt;h3&gt;Are Chihuahuas suitable for apartment living in South Bengaluru?&lt;/h3&gt;&lt;p&gt;Yes"&amp;", Chihuahuas thrive in apartment environments due to their small size. Regular indoor playtime combined with brief, controlled walks around quiet neighborhood streets near Banashankari 3rd Stage ensures they stay physically active and happy.&lt;/p&gt;")</f>
        <v>&lt;h2&gt;Chihuahua Puppies in Banashankari, Bangalore - FAQs&lt;/h2&gt;&lt;h3&gt;What municipal guidelines govern buying or adopting a Chihuahua puppy in Banashankari?&lt;/h3&gt;&lt;p&gt;Residents around Banashankari 3rd Stage and Kamakya Theatre must obtain a valid BBMP pet license, register their puppy's microchip, and keep core vaccinations current. Before buying, consider reviewing ethical breeding standards or reaching out to &lt;a href="https://www.peopleforanimalsindia.org"&gt;local pet rescue organizations&lt;/a&gt; for adoption options.&lt;/p&gt;&lt;h3&gt;How can I locate reliable veterinary care for toy breeds in Banashankari?&lt;/h3&gt;&lt;p&gt;Veterinary facilities near the BDA Complex and Banashankari TTMC offer specialized care for toy breeds, including dental checkups and preventive health plans. If you suspect unethical breeding practices or animal mistreatment near Outer Ring Road, report it through &lt;a href="https://www.petaindia.com"&gt;cruelty prevention channels&lt;/a&gt;.&lt;/p&gt;&lt;h3&gt;Are Chihuahuas suitable for apartment living in South Bengaluru?&lt;/h3&gt;&lt;p&gt;Yes, Chihuahuas thrive in apartment environments due to their small size. Regular indoor playtime combined with brief, controlled walks around quiet neighborhood streets near Banashankari 3rd Stage ensures they stay physically active and happy.&lt;/p&gt;</v>
      </c>
    </row>
    <row r="12" spans="1:11" x14ac:dyDescent="0.25">
      <c r="A12" s="2" t="s">
        <v>90</v>
      </c>
      <c r="B12" s="2" t="s">
        <v>12</v>
      </c>
      <c r="C12" s="2" t="s">
        <v>91</v>
      </c>
      <c r="D12" s="2" t="s">
        <v>92</v>
      </c>
      <c r="E12" s="2" t="s">
        <v>93</v>
      </c>
      <c r="F12" s="2" t="s">
        <v>94</v>
      </c>
      <c r="G12" s="2" t="s">
        <v>95</v>
      </c>
      <c r="H12" s="2" t="s">
        <v>96</v>
      </c>
      <c r="I12" s="2" t="s">
        <v>97</v>
      </c>
      <c r="J12" s="2" t="str">
        <f ca="1">IFERROR(__xludf.DUMMYFUNCTION("AI(""Act as an expert copywriter and automotive maintenance specialist. Write a unique, 1-paragraph care guide and maintenance cost breakdown for "" &amp; A12 &amp; "" located in "" &amp; B12 &amp; "". Start the output directly with an HTML h2 heading containing the vehi"&amp;"cle/service name and location (e.g., &lt;h2&gt;"" &amp; A12 &amp; "" Care Guide and Maintenance Costs in "" &amp; B12 &amp; ""&lt;/h2&gt;). Follow the heading with exactly one detailed paragraph of expert-level advice covering preventive maintenance routines, common local wear-and-t"&amp;"ear factors specific to "" &amp; B12 &amp; "", and estimated servicing costs. Ensure the content is completely original, avoids generic filler, and contains no repeated phrasing or duplicate templates across rows."")"),"&lt;h2&gt;Chihuahua Puppies Care Guide and Maintenance Costs in BTM Layout, Bangalore&lt;/h2&gt;Caring for a Chihuahua puppy in BTM Layout requires a structured wellness routine tailored for high-density urban environments. To ensure long-term vitality, prioritize hi"&amp;"gh-protein nutrition formulated for toy breeds, daily indoor play alongside controlled short walks around BTM Lake or 2nd Stage, and rigorous dental hygiene to prevent early periodontal issues. Navigating active commercial corridors along Tavarekere Main "&amp;"Road and Silk Board Junction exposes small dogs to street dust, traffic noise, and heat, making reliable hydration, tick prevention, and regular coat grooming essential. On average, annual maintenance costs in BTM Layout range between ₹15,000 and ₹35,000,"&amp;" covering quality puppy food, routine veterinary visits, core vaccinations, deworming, and periodic professional grooming.")</f>
        <v>&lt;h2&gt;Chihuahua Puppies Care Guide and Maintenance Costs in BTM Layout, Bangalore&lt;/h2&gt;Caring for a Chihuahua puppy in BTM Layout requires a structured wellness routine tailored for high-density urban environments. To ensure long-term vitality, prioritize high-protein nutrition formulated for toy breeds, daily indoor play alongside controlled short walks around BTM Lake or 2nd Stage, and rigorous dental hygiene to prevent early periodontal issues. Navigating active commercial corridors along Tavarekere Main Road and Silk Board Junction exposes small dogs to street dust, traffic noise, and heat, making reliable hydration, tick prevention, and regular coat grooming essential. On average, annual maintenance costs in BTM Layout range between ₹15,000 and ₹35,000, covering quality puppy food, routine veterinary visits, core vaccinations, deworming, and periodic professional grooming.</v>
      </c>
      <c r="K12" s="2" t="str">
        <f ca="1">IFERROR(__xludf.DUMMYFUNCTION("AI(""Write 3 unique FAQs in HTML format for "" &amp; A12 &amp; "" in "" &amp; B12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BTM Layout, Bangalore - FAQs&lt;/h2&gt;&lt;h3&gt;What municipal BBMP pet licensing requirements exist for Chihuahuas in BTM Layout?&lt;/h3&gt;&lt;p&gt;Pet owners near 2nd Stage, Tavarekere Main Road, and Vega City Mall must obtain an annual BBMP pet lice"&amp;"nse, maintain updated rabies vaccination records, and register microchip details. Before purchasing, verify responsible breeding practices or consult &lt;a href=""https://www.peopleforanimalsindia.org""&gt;local pet rescue organizations&lt;/a&gt; to consider ethical "&amp;"adoption options.&lt;/p&gt;&lt;h3&gt;Where can I find veterinary clinics and healthcare support for toy breeds in BTM Layout?&lt;/h3&gt;&lt;p&gt;Veterinary centers located near Central Silk Board and Udupi Garden Circle provide routine checkups, vaccinations, and dental care tai"&amp;"lored for toy breeds. If you witness suspected illegal breeding or mistreatment around commercial areas, contact &lt;a href=""https://www.petaindia.com""&gt;animal cruelty prevention groups&lt;/a&gt; to submit an official report.&lt;/p&gt;&lt;h3&gt;How do Chihuahua puppies adapt"&amp;" to apartment living near high-traffic areas in South Bangalore?&lt;/h3&gt;&lt;p&gt;Chihuahuas thrive in compact apartments due to their small size and modest space needs. To manage stress from heavy traffic noise along Outer Ring Road, provide routine indoor play co"&amp;"mbined with short, controlled walks around quieter residential lanes near BTM Lake.&lt;/p&gt;")</f>
        <v>&lt;h2&gt;Chihuahua Puppies in BTM Layout, Bangalore - FAQs&lt;/h2&gt;&lt;h3&gt;What municipal BBMP pet licensing requirements exist for Chihuahuas in BTM Layout?&lt;/h3&gt;&lt;p&gt;Pet owners near 2nd Stage, Tavarekere Main Road, and Vega City Mall must obtain an annual BBMP pet license, maintain updated rabies vaccination records, and register microchip details. Before purchasing, verify responsible breeding practices or consult &lt;a href="https://www.peopleforanimalsindia.org"&gt;local pet rescue organizations&lt;/a&gt; to consider ethical adoption options.&lt;/p&gt;&lt;h3&gt;Where can I find veterinary clinics and healthcare support for toy breeds in BTM Layout?&lt;/h3&gt;&lt;p&gt;Veterinary centers located near Central Silk Board and Udupi Garden Circle provide routine checkups, vaccinations, and dental care tailored for toy breeds. If you witness suspected illegal breeding or mistreatment around commercial areas, contact &lt;a href="https://www.petaindia.com"&gt;animal cruelty prevention groups&lt;/a&gt; to submit an official report.&lt;/p&gt;&lt;h3&gt;How do Chihuahua puppies adapt to apartment living near high-traffic areas in South Bangalore?&lt;/h3&gt;&lt;p&gt;Chihuahuas thrive in compact apartments due to their small size and modest space needs. To manage stress from heavy traffic noise along Outer Ring Road, provide routine indoor play combined with short, controlled walks around quieter residential lanes near BTM Lake.&lt;/p&gt;</v>
      </c>
    </row>
    <row r="13" spans="1:11" x14ac:dyDescent="0.25">
      <c r="A13" s="2" t="s">
        <v>98</v>
      </c>
      <c r="B13" s="2" t="s">
        <v>12</v>
      </c>
      <c r="C13" s="2" t="s">
        <v>99</v>
      </c>
      <c r="D13" s="2" t="s">
        <v>100</v>
      </c>
      <c r="E13" s="2" t="s">
        <v>101</v>
      </c>
      <c r="F13" s="2" t="s">
        <v>102</v>
      </c>
      <c r="G13" s="2" t="s">
        <v>103</v>
      </c>
      <c r="H13" s="2" t="s">
        <v>104</v>
      </c>
      <c r="I13" s="2" t="s">
        <v>105</v>
      </c>
      <c r="J13" s="2" t="str">
        <f ca="1">IFERROR(__xludf.DUMMYFUNCTION("AI(""Act as an expert copywriter and automotive maintenance specialist. Write a unique, 1-paragraph care guide and maintenance cost breakdown for "" &amp; A13 &amp; "" located in "" &amp; B13 &amp; "". Start the output directly with an HTML h2 heading containing the vehi"&amp;"cle/service name and location (e.g., &lt;h2&gt;"" &amp; A13 &amp; "" Care Guide and Maintenance Costs in "" &amp; B13 &amp; ""&lt;/h2&gt;). Follow the heading with exactly one detailed paragraph of expert-level advice covering preventive maintenance routines, common local wear-and-t"&amp;"ear factors specific to "" &amp; B13 &amp; "", and estimated servicing costs. Ensure the content is completely original, avoids generic filler, and contains no repeated phrasing or duplicate templates across rows."")"),"&lt;h2&gt;Chihuahua Puppies Care Guide and Maintenance Costs in RT Nagar, Bangalore&lt;/h2&gt;Caring for a Chihuahua puppy in North Bengaluru's RT Nagar requires a structured care routine tailored for urban residential living near busy transit corridors like Bellary "&amp;"Road and Dinnur Market. To ensure optimal health, prioritize nutrient-dense food formulated specifically for toy breeds, daily indoor play alongside controlled short walks along quieter residential lanes, and strict oral hygiene to prevent early dental is"&amp;"sues. Navigating active commercial hubs exposes small puppies to urban dust, heat variations, and traffic noise, making consistent climate control, tick prevention, and regular grooming essential. On average, annual maintenance costs in RT Nagar range bet"&amp;"ween ₹15,000 and ₹35,000, covering high-quality puppy food, routine veterinary visits, core vaccinations, timely deworming, and periodic professional grooming.")</f>
        <v>&lt;h2&gt;Chihuahua Puppies Care Guide and Maintenance Costs in RT Nagar, Bangalore&lt;/h2&gt;Caring for a Chihuahua puppy in North Bengaluru's RT Nagar requires a structured care routine tailored for urban residential living near busy transit corridors like Bellary Road and Dinnur Market. To ensure optimal health, prioritize nutrient-dense food formulated specifically for toy breeds, daily indoor play alongside controlled short walks along quieter residential lanes, and strict oral hygiene to prevent early dental issues. Navigating active commercial hubs exposes small puppies to urban dust, heat variations, and traffic noise, making consistent climate control, tick prevention, and regular grooming essential. On average, annual maintenance costs in RT Nagar range between ₹15,000 and ₹35,000, covering high-quality puppy food, routine veterinary visits, core vaccinations, timely deworming, and periodic professional grooming.</v>
      </c>
      <c r="K13" s="2" t="str">
        <f ca="1">IFERROR(__xludf.DUMMYFUNCTION("AI(""Write 3 unique FAQs in HTML format for "" &amp; A13 &amp; "" in "" &amp; B13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RT Nagar, Bangalore - FAQs&lt;/h2&gt;&lt;h3&gt;What municipal rules apply to Chihuahua puppy owners in RT Nagar?&lt;/h3&gt;&lt;p&gt;Pet parents around RT Nagar Main Road and Dinnur Market must adhere to BBMP licensing regulations, which mandate mandatory"&amp;" microchipping and yearly rabies vaccinations. Before purchasing a pup, consider checking local adoption guidelines or supporting &lt;a href=""https://www.peopleforanimalsindia.org""&gt;animal welfare organisations&lt;/a&gt; for rescue options in North Bangalore.&lt;/p&gt;"&amp;"&lt;h3&gt;Where can I find reliable vet care and address animal welfare issues near RT Nagar?&lt;/h3&gt;&lt;p&gt;Veterinary facilities near Bellary Road and Hebbal offer routine immunizations, wellness checks, and specialized care for toy breeds. If you witness unethical b"&amp;"reeding practices or animal mistreatment near Dinnur Market, reach out to &lt;a href=""https://www.petaindia.com""&gt;animal rights protection groups&lt;/a&gt; to report violations immediately.&lt;/p&gt;&lt;h3&gt;Are Chihuahua puppies suitable for residential living near busy RT"&amp;" Nagar corridors?&lt;/h3&gt;&lt;p&gt;Yes, Chihuahuas thrive in apartment environments due to their compact size. Providing regular indoor play and brief morning walks along quieter residential lanes off RT Nagar Main Road helps protect them from heavy traffic noise a"&amp;"nd pollution while meeting their exercise needs.&lt;/p&gt;")</f>
        <v>&lt;h2&gt;Chihuahua Puppies in RT Nagar, Bangalore - FAQs&lt;/h2&gt;&lt;h3&gt;What municipal rules apply to Chihuahua puppy owners in RT Nagar?&lt;/h3&gt;&lt;p&gt;Pet parents around RT Nagar Main Road and Dinnur Market must adhere to BBMP licensing regulations, which mandate mandatory microchipping and yearly rabies vaccinations. Before purchasing a pup, consider checking local adoption guidelines or supporting &lt;a href="https://www.peopleforanimalsindia.org"&gt;animal welfare organisations&lt;/a&gt; for rescue options in North Bangalore.&lt;/p&gt;&lt;h3&gt;Where can I find reliable vet care and address animal welfare issues near RT Nagar?&lt;/h3&gt;&lt;p&gt;Veterinary facilities near Bellary Road and Hebbal offer routine immunizations, wellness checks, and specialized care for toy breeds. If you witness unethical breeding practices or animal mistreatment near Dinnur Market, reach out to &lt;a href="https://www.petaindia.com"&gt;animal rights protection groups&lt;/a&gt; to report violations immediately.&lt;/p&gt;&lt;h3&gt;Are Chihuahua puppies suitable for residential living near busy RT Nagar corridors?&lt;/h3&gt;&lt;p&gt;Yes, Chihuahuas thrive in apartment environments due to their compact size. Providing regular indoor play and brief morning walks along quieter residential lanes off RT Nagar Main Road helps protect them from heavy traffic noise and pollution while meeting their exercise needs.&lt;/p&gt;</v>
      </c>
    </row>
    <row r="14" spans="1:11" x14ac:dyDescent="0.25">
      <c r="A14" s="2" t="s">
        <v>106</v>
      </c>
      <c r="B14" s="2" t="s">
        <v>12</v>
      </c>
      <c r="C14" s="2" t="s">
        <v>107</v>
      </c>
      <c r="D14" s="2" t="s">
        <v>108</v>
      </c>
      <c r="E14" s="2" t="s">
        <v>109</v>
      </c>
      <c r="F14" s="2" t="s">
        <v>110</v>
      </c>
      <c r="G14" s="2" t="s">
        <v>111</v>
      </c>
      <c r="H14" s="2" t="s">
        <v>112</v>
      </c>
      <c r="I14" s="2" t="s">
        <v>113</v>
      </c>
      <c r="J14" s="2" t="str">
        <f ca="1">IFERROR(__xludf.DUMMYFUNCTION("AI(""Act as an expert copywriter and automotive maintenance specialist. Write a unique, 1-paragraph care guide and maintenance cost breakdown for "" &amp; A14 &amp; "" located in "" &amp; B14 &amp; "". Start the output directly with an HTML h2 heading containing the vehi"&amp;"cle/service name and location (e.g., &lt;h2&gt;"" &amp; A14 &amp; "" Care Guide and Maintenance Costs in "" &amp; B14 &amp; ""&lt;/h2&gt;). Follow the heading with exactly one detailed paragraph of expert-level advice covering preventive maintenance routines, common local wear-and-t"&amp;"ear factors specific to "" &amp; B14 &amp; "", and estimated servicing costs. Ensure the content is completely original, avoids generic filler, and contains no repeated phrasing or duplicate templates across rows."")"),"&lt;h2&gt;Chihuahua Puppies Care Guide and Maintenance Costs in Kammanahalli, Bangalore&lt;/h2&gt;Raising a Chihuahua puppy in the lively residential hub of Kammanahalli requires a proactive care strategy adapted to bustling urban living. To maintain optimal vitality"&amp;", provide nutrient-dense food tailored for toy breeds, schedule controlled exercise sessions around quieter spots near HRBR Layout, and maintain strict oral hygiene to avoid early dental issues. Navigating local neighborhoods exposes small pets to ambient"&amp;" dust, traffic noise, and seasonal humidity, making routine tick prevention, coat grooming, and a calm indoor rest area indispensable. Annual maintenance costs in Kammanahalli typically range between ₹15,000 and ₹35,000, covering high-quality puppy diet, "&amp;"routine veterinary checkups, core vaccinations, deworming, and periodic professional grooming services.")</f>
        <v>&lt;h2&gt;Chihuahua Puppies Care Guide and Maintenance Costs in Kammanahalli, Bangalore&lt;/h2&gt;Raising a Chihuahua puppy in the lively residential hub of Kammanahalli requires a proactive care strategy adapted to bustling urban living. To maintain optimal vitality, provide nutrient-dense food tailored for toy breeds, schedule controlled exercise sessions around quieter spots near HRBR Layout, and maintain strict oral hygiene to avoid early dental issues. Navigating local neighborhoods exposes small pets to ambient dust, traffic noise, and seasonal humidity, making routine tick prevention, coat grooming, and a calm indoor rest area indispensable. Annual maintenance costs in Kammanahalli typically range between ₹15,000 and ₹35,000, covering high-quality puppy diet, routine veterinary checkups, core vaccinations, deworming, and periodic professional grooming services.</v>
      </c>
      <c r="K14" s="2" t="str">
        <f ca="1">IFERROR(__xludf.DUMMYFUNCTION("AI(""Write 3 unique FAQs in HTML format for "" &amp; A14 &amp; "" in "" &amp; B14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Kammanahalli, Bangalore - FAQs&lt;/h2&gt;&lt;h3&gt;What BBMP registration and pet ownership rules apply in Kammanahalli?&lt;/h3&gt;&lt;p&gt;Residents around Kammanahalli Main Road and HRBR Layout must secure an annual BBMP pet license, maintain microchip"&amp;"ping records, and stay up to date with core vaccinations. Before purchasing a pup, consider checking local adoption guidelines or visiting &lt;a href=""https://www.peopleforanimalsindia.org""&gt;rescue dog shelters in Bangalore&lt;/a&gt; to support ethical pet practi"&amp;"ces.&lt;/p&gt;&lt;h3&gt;How can I report improper breeding conditions or animal mistreatment near Kammanahalli?&lt;/h3&gt;&lt;p&gt;If you encounter unauthorized breeding facilities or poor welfare standards near Kullappa Circle or Lingarajapuram, report the infraction to civic a"&amp;"uthorities or get guidance from &lt;a href=""https://www.petaindia.com""&gt;cruelty reporting networks&lt;/a&gt; to ensure compliance with animal welfare laws.&lt;/p&gt;&lt;h3&gt;Where can I locate trusted veterinary services for toy breeds in Kammanahalli?&lt;/h3&gt;&lt;p&gt;Veterinary cli"&amp;"nics around 80 Feet Road and HRBR Layout provide complete health management for mini breeds, including dental checkups, vaccinations, and nutrition counseling. Routine wellness visits help prevent breed-specific risks like hypoglycemia and patellar luxati"&amp;"on in young puppies.&lt;/p&gt;")</f>
        <v>&lt;h2&gt;Chihuahua Puppies in Kammanahalli, Bangalore - FAQs&lt;/h2&gt;&lt;h3&gt;What BBMP registration and pet ownership rules apply in Kammanahalli?&lt;/h3&gt;&lt;p&gt;Residents around Kammanahalli Main Road and HRBR Layout must secure an annual BBMP pet license, maintain microchipping records, and stay up to date with core vaccinations. Before purchasing a pup, consider checking local adoption guidelines or visiting &lt;a href="https://www.peopleforanimalsindia.org"&gt;rescue dog shelters in Bangalore&lt;/a&gt; to support ethical pet practices.&lt;/p&gt;&lt;h3&gt;How can I report improper breeding conditions or animal mistreatment near Kammanahalli?&lt;/h3&gt;&lt;p&gt;If you encounter unauthorized breeding facilities or poor welfare standards near Kullappa Circle or Lingarajapuram, report the infraction to civic authorities or get guidance from &lt;a href="https://www.petaindia.com"&gt;cruelty reporting networks&lt;/a&gt; to ensure compliance with animal welfare laws.&lt;/p&gt;&lt;h3&gt;Where can I locate trusted veterinary services for toy breeds in Kammanahalli?&lt;/h3&gt;&lt;p&gt;Veterinary clinics around 80 Feet Road and HRBR Layout provide complete health management for mini breeds, including dental checkups, vaccinations, and nutrition counseling. Routine wellness visits help prevent breed-specific risks like hypoglycemia and patellar luxation in young puppies.&lt;/p&gt;</v>
      </c>
    </row>
    <row r="15" spans="1:11" x14ac:dyDescent="0.25">
      <c r="A15" s="2" t="s">
        <v>114</v>
      </c>
      <c r="B15" s="2" t="s">
        <v>12</v>
      </c>
      <c r="C15" s="2" t="s">
        <v>115</v>
      </c>
      <c r="D15" s="2" t="s">
        <v>116</v>
      </c>
      <c r="E15" s="2" t="s">
        <v>115</v>
      </c>
      <c r="F15" s="2" t="s">
        <v>117</v>
      </c>
      <c r="G15" s="2" t="s">
        <v>118</v>
      </c>
      <c r="H15" s="2" t="s">
        <v>119</v>
      </c>
      <c r="I15" s="2" t="s">
        <v>120</v>
      </c>
      <c r="J15" s="2" t="str">
        <f ca="1">IFERROR(__xludf.DUMMYFUNCTION("AI(""Act as an expert copywriter and automotive maintenance specialist. Write a unique, 1-paragraph care guide and maintenance cost breakdown for "" &amp; A15 &amp; "" located in "" &amp; B15 &amp; "". Start the output directly with an HTML h2 heading containing the vehi"&amp;"cle/service name and location (e.g., &lt;h2&gt;"" &amp; A15 &amp; "" Care Guide and Maintenance Costs in "" &amp; B15 &amp; ""&lt;/h2&gt;). Follow the heading with exactly one detailed paragraph of expert-level advice covering preventive maintenance routines, common local wear-and-t"&amp;"ear factors specific to "" &amp; B15 &amp; "", and estimated servicing costs. Ensure the content is completely original, avoids generic filler, and contains no repeated phrasing or duplicate templates across rows."")"),"&lt;h2&gt;Chihuahua Puppies Care Guide and Maintenance Costs in Kalyan Nagar, Bangalore&lt;/h2&gt;Caring for a Chihuahua puppy in Kalyan Nagar involves establishing a balanced health and upkeep schedule tailored to modern East Bengaluru living. Prioritize nutrient-ri"&amp;"ch food formulated for mini breeds, daily dental brushing to counteract susceptibility to periodontal issues, and short, controlled walks around quieter residential lanes near HRBR Layout and Hennur Main Road. Navigating urban surroundings around busy ave"&amp;"nues like 80 Feet Road exposes small dogs to road dust, traffic noise, and warm weather, necessitating consistent hydration, tick and flea prevention, and routine coat grooming. Owners in Kalyan Nagar can expect annual care and maintenance costs to averag"&amp;"e between ₹15,000 and ₹35,000, which encompasses premium toy-breed diet supplies, routine pediatric veterinary evaluations, periodic vaccinations, deworming treatments, and basic professional grooming sessions.")</f>
        <v>&lt;h2&gt;Chihuahua Puppies Care Guide and Maintenance Costs in Kalyan Nagar, Bangalore&lt;/h2&gt;Caring for a Chihuahua puppy in Kalyan Nagar involves establishing a balanced health and upkeep schedule tailored to modern East Bengaluru living. Prioritize nutrient-rich food formulated for mini breeds, daily dental brushing to counteract susceptibility to periodontal issues, and short, controlled walks around quieter residential lanes near HRBR Layout and Hennur Main Road. Navigating urban surroundings around busy avenues like 80 Feet Road exposes small dogs to road dust, traffic noise, and warm weather, necessitating consistent hydration, tick and flea prevention, and routine coat grooming. Owners in Kalyan Nagar can expect annual care and maintenance costs to average between ₹15,000 and ₹35,000, which encompasses premium toy-breed diet supplies, routine pediatric veterinary evaluations, periodic vaccinations, deworming treatments, and basic professional grooming sessions.</v>
      </c>
      <c r="K15" s="2" t="str">
        <f ca="1">IFERROR(__xludf.DUMMYFUNCTION("AI(""Write 3 unique FAQs in HTML format for "" &amp; A15 &amp; "" in "" &amp; B15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Kalyan Nagar, Bangalore - FAQs&lt;/h2&gt;&lt;h3&gt;What municipal BBMP regulations apply to owning a Chihuahua puppy in Kalyan Nagar?&lt;/h3&gt;&lt;p&gt;Pet owners along Hennur Main Road and HRBR Layout must register their dogs for a BBMP pet license, ma"&amp;"intain annual rabies vaccinations, and ensure microchipping. Before purchasing, check local adoption guidelines or reach out to &lt;a href=""https://www.peopleforanimalsindia.org""&gt;animal welfare organizations&lt;/a&gt; for alternative adoption options.&lt;/p&gt;&lt;h3&gt;Whe"&amp;"re can I find veterinary care and report pet neglect around Kalyan Nagar?&lt;/h3&gt;&lt;p&gt;Veterinary clinics near 80 Feet Road and Banaswadi railway station offer vaccinations, health checks, and pediatric care for toy breeds. If you witness cruelty or illegal bre"&amp;"eding practices in East Bengaluru, report them promptly to &lt;a href=""https://www.petaindia.com""&gt;animal rights protection groups&lt;/a&gt;.&lt;/p&gt;&lt;h3&gt;How do I care for a Chihuahua puppy in Kalyan Nagar's urban environment?&lt;/h3&gt;&lt;p&gt;Keep your puppy safe from street d"&amp;"ust and traffic near busy avenues by taking short walks along quieter residential lanes off HRBR Layout. Provide fresh water, toy-breed nutrition, and daily indoor playtime to support healthy development in apartment settings.&lt;/p&gt;")</f>
        <v>&lt;h2&gt;Chihuahua Puppies in Kalyan Nagar, Bangalore - FAQs&lt;/h2&gt;&lt;h3&gt;What municipal BBMP regulations apply to owning a Chihuahua puppy in Kalyan Nagar?&lt;/h3&gt;&lt;p&gt;Pet owners along Hennur Main Road and HRBR Layout must register their dogs for a BBMP pet license, maintain annual rabies vaccinations, and ensure microchipping. Before purchasing, check local adoption guidelines or reach out to &lt;a href="https://www.peopleforanimalsindia.org"&gt;animal welfare organizations&lt;/a&gt; for alternative adoption options.&lt;/p&gt;&lt;h3&gt;Where can I find veterinary care and report pet neglect around Kalyan Nagar?&lt;/h3&gt;&lt;p&gt;Veterinary clinics near 80 Feet Road and Banaswadi railway station offer vaccinations, health checks, and pediatric care for toy breeds. If you witness cruelty or illegal breeding practices in East Bengaluru, report them promptly to &lt;a href="https://www.petaindia.com"&gt;animal rights protection groups&lt;/a&gt;.&lt;/p&gt;&lt;h3&gt;How do I care for a Chihuahua puppy in Kalyan Nagar's urban environment?&lt;/h3&gt;&lt;p&gt;Keep your puppy safe from street dust and traffic near busy avenues by taking short walks along quieter residential lanes off HRBR Layout. Provide fresh water, toy-breed nutrition, and daily indoor playtime to support healthy development in apartment settings.&lt;/p&gt;</v>
      </c>
    </row>
    <row r="16" spans="1:11" x14ac:dyDescent="0.25">
      <c r="A16" s="2" t="s">
        <v>121</v>
      </c>
      <c r="B16" s="2" t="s">
        <v>12</v>
      </c>
      <c r="C16" s="2" t="s">
        <v>122</v>
      </c>
      <c r="D16" s="2" t="s">
        <v>123</v>
      </c>
      <c r="E16" s="2" t="s">
        <v>124</v>
      </c>
      <c r="F16" s="2" t="s">
        <v>125</v>
      </c>
      <c r="G16" s="2" t="s">
        <v>126</v>
      </c>
      <c r="H16" s="2" t="s">
        <v>127</v>
      </c>
      <c r="I16" s="2" t="s">
        <v>128</v>
      </c>
      <c r="J16" s="2" t="str">
        <f ca="1">IFERROR(__xludf.DUMMYFUNCTION("AI(""Act as an expert copywriter and automotive maintenance specialist. Write a unique, 1-paragraph care guide and maintenance cost breakdown for "" &amp; A16 &amp; "" located in "" &amp; B16 &amp; "". Start the output directly with an HTML h2 heading containing the vehi"&amp;"cle/service name and location (e.g., &lt;h2&gt;"" &amp; A16 &amp; "" Care Guide and Maintenance Costs in "" &amp; B16 &amp; ""&lt;/h2&gt;). Follow the heading with exactly one detailed paragraph of expert-level advice covering preventive maintenance routines, common local wear-and-t"&amp;"ear factors specific to "" &amp; B16 &amp; "", and estimated servicing costs. Ensure the content is completely original, avoids generic filler, and contains no repeated phrasing or duplicate templates across rows."")"),"&lt;h2&gt;Chihuahua Puppies Care Guide and Maintenance Costs in Yelahanka, Bangalore&lt;/h2&gt;Caring for a Chihuahua puppy in northern Bengaluru's Yelahanka precinct requires a structured wellness routine suited to expanding suburban residential environments. To kee"&amp;"p your toy companion healthy near Airport Road and Kogilu, prioritize high-protein nutrition formulated specifically for toy breeds, indoor mental stimulation combined with controlled outdoor walks, and diligent dental care to prevent early periodontal is"&amp;"sues. Navigating local dust, seasonal heat variations, and urban outdoor exposure necessitates regular grooming, routine parasite prevention, and consistent coat care. On average, annual maintenance costs in Yelahanka range between ₹15,000 and ₹35,000, co"&amp;"vering specialized puppy food, routine veterinary checkups, essential vaccinations, deworming, and professional grooming services.")</f>
        <v>&lt;h2&gt;Chihuahua Puppies Care Guide and Maintenance Costs in Yelahanka, Bangalore&lt;/h2&gt;Caring for a Chihuahua puppy in northern Bengaluru's Yelahanka precinct requires a structured wellness routine suited to expanding suburban residential environments. To keep your toy companion healthy near Airport Road and Kogilu, prioritize high-protein nutrition formulated specifically for toy breeds, indoor mental stimulation combined with controlled outdoor walks, and diligent dental care to prevent early periodontal issues. Navigating local dust, seasonal heat variations, and urban outdoor exposure necessitates regular grooming, routine parasite prevention, and consistent coat care. On average, annual maintenance costs in Yelahanka range between ₹15,000 and ₹35,000, covering specialized puppy food, routine veterinary checkups, essential vaccinations, deworming, and professional grooming services.</v>
      </c>
      <c r="K16" s="2" t="str">
        <f ca="1">IFERROR(__xludf.DUMMYFUNCTION("AI(""Write 3 unique FAQs in HTML format for "" &amp; A16 &amp; "" in "" &amp; B16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for Sale in Yelahanka, Bangalore - FAQs&lt;/h2&gt;&lt;h3&gt;What BBMP compliance is required when buying a Chihuahua puppy in Yelahanka?&lt;/h3&gt;&lt;p&gt;Pet owners across Yelahanka New Town and Kogilu must secure an annual BBMP pet license, register micr"&amp;"ochip details, and maintain updated rabies vaccination records under municipal guidelines. Before purchasing, verify responsible breeding standards or consult &lt;a href=""https://www.peopleforanimalsindia.org""&gt;local pet rescue networks&lt;/a&gt; for adoption opt"&amp;"ions.&lt;/p&gt;&lt;h3&gt;Where can I find veterinary care for Chihuahua puppies near Yelahanka?&lt;/h3&gt;&lt;p&gt;Established veterinary clinics along the Airport Road (NH 44) belt and Bellary Road provide routine immunizations, pediatric care, and health screenings for toy bre"&amp;"eds. If you encounter illegal breeding operations or neglect in northern Bengaluru, contact &lt;a href=""https://www.petaindia.com""&gt;animal rights protection groups&lt;/a&gt; to report violations.&lt;/p&gt;&lt;h3&gt;How well do Chihuahua puppies adapt to residential living in"&amp;" Yelahanka Old Town?&lt;/h3&gt;&lt;p&gt;Chihuahuas thrive in suburban homes and apartments throughout Yelahanka thanks to their compact size and low exercise demands. Engaging indoor activity paired with short walks along quiet streets near Yelahanka Lake helps maint"&amp;"ain their overall physical health.&lt;/p&gt;")</f>
        <v>&lt;h2&gt;Chihuahua Puppies for Sale in Yelahanka, Bangalore - FAQs&lt;/h2&gt;&lt;h3&gt;What BBMP compliance is required when buying a Chihuahua puppy in Yelahanka?&lt;/h3&gt;&lt;p&gt;Pet owners across Yelahanka New Town and Kogilu must secure an annual BBMP pet license, register microchip details, and maintain updated rabies vaccination records under municipal guidelines. Before purchasing, verify responsible breeding standards or consult &lt;a href="https://www.peopleforanimalsindia.org"&gt;local pet rescue networks&lt;/a&gt; for adoption options.&lt;/p&gt;&lt;h3&gt;Where can I find veterinary care for Chihuahua puppies near Yelahanka?&lt;/h3&gt;&lt;p&gt;Established veterinary clinics along the Airport Road (NH 44) belt and Bellary Road provide routine immunizations, pediatric care, and health screenings for toy breeds. If you encounter illegal breeding operations or neglect in northern Bengaluru, contact &lt;a href="https://www.petaindia.com"&gt;animal rights protection groups&lt;/a&gt; to report violations.&lt;/p&gt;&lt;h3&gt;How well do Chihuahua puppies adapt to residential living in Yelahanka Old Town?&lt;/h3&gt;&lt;p&gt;Chihuahuas thrive in suburban homes and apartments throughout Yelahanka thanks to their compact size and low exercise demands. Engaging indoor activity paired with short walks along quiet streets near Yelahanka Lake helps maintain their overall physical health.&lt;/p&gt;</v>
      </c>
    </row>
    <row r="17" spans="1:11" x14ac:dyDescent="0.25">
      <c r="A17" s="2" t="s">
        <v>129</v>
      </c>
      <c r="B17" s="2" t="s">
        <v>12</v>
      </c>
      <c r="C17" s="2" t="s">
        <v>130</v>
      </c>
      <c r="D17" s="2" t="s">
        <v>131</v>
      </c>
      <c r="E17" s="2" t="s">
        <v>132</v>
      </c>
      <c r="F17" s="2" t="s">
        <v>133</v>
      </c>
      <c r="G17" s="2" t="s">
        <v>134</v>
      </c>
      <c r="H17" s="2" t="s">
        <v>135</v>
      </c>
      <c r="I17" s="2" t="s">
        <v>136</v>
      </c>
      <c r="J17" s="2" t="str">
        <f ca="1">IFERROR(__xludf.DUMMYFUNCTION("AI(""Act as an expert copywriter and automotive maintenance specialist. Write a unique, 1-paragraph care guide and maintenance cost breakdown for "" &amp; A17 &amp; "" located in "" &amp; B17 &amp; "". Start the output directly with an HTML h2 heading containing the vehi"&amp;"cle/service name and location (e.g., &lt;h2&gt;"" &amp; A17 &amp; "" Care Guide and Maintenance Costs in "" &amp; B17 &amp; ""&lt;/h2&gt;). Follow the heading with exactly one detailed paragraph of expert-level advice covering preventive maintenance routines, common local wear-and-t"&amp;"ear factors specific to "" &amp; B17 &amp; "", and estimated servicing costs. Ensure the content is completely original, avoids generic filler, and contains no repeated phrasing or duplicate templates across rows."")"),"&lt;h2&gt;Chihuahua Puppies Care Guide and Maintenance Costs in Trichy, Tamil Nadu&lt;/h2&gt;Caring for a Chihuahua puppy in Trichy demands a dedicated wellness regimen adapted to the region's warm tropical climate and urban layout around neighborhoods like Thillai N"&amp;"agar and KK Nagar. Prioritize a balanced, high-protein diet designed for small breeds, ensure constant access to fresh water to mitigate heat stress, and plan exercise during cooler early morning or evening hours. Trichy's warm environment requires vigila"&amp;"nt tick and flea prevention, regular dental care to avoid periodontal issues common in toy breeds, and routine grooming. On average, annual care and maintenance costs in Trichy range between ₹12,000 and ₹30,000, which covers premium puppy food, core vacci"&amp;"nations, regular veterinary checkups, deworming, and basic grooming supplies.")</f>
        <v>&lt;h2&gt;Chihuahua Puppies Care Guide and Maintenance Costs in Trichy, Tamil Nadu&lt;/h2&gt;Caring for a Chihuahua puppy in Trichy demands a dedicated wellness regimen adapted to the region's warm tropical climate and urban layout around neighborhoods like Thillai Nagar and KK Nagar. Prioritize a balanced, high-protein diet designed for small breeds, ensure constant access to fresh water to mitigate heat stress, and plan exercise during cooler early morning or evening hours. Trichy's warm environment requires vigilant tick and flea prevention, regular dental care to avoid periodontal issues common in toy breeds, and routine grooming. On average, annual care and maintenance costs in Trichy range between ₹12,000 and ₹30,000, which covers premium puppy food, core vaccinations, regular veterinary checkups, deworming, and basic grooming supplies.</v>
      </c>
      <c r="K17" s="2" t="str">
        <f ca="1">IFERROR(__xludf.DUMMYFUNCTION("AI(""Write 3 unique FAQs in HTML format for "" &amp; A17 &amp; "" in "" &amp; B17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Trichy, Tamil Nadu - FAQs&lt;/h2&gt;&lt;h3&gt;What municipal requirements apply when keeping a Chihuahua puppy in Trichy?&lt;/h3&gt;&lt;p&gt;Dog owners in residential areas like Thillai Nagar and KK Nagar should register their pets with the Tiruchirappal"&amp;"li City Municipal Corporation and maintain updated rabies vaccination records. Prior to purchasing, check local adoption guidelines or reach out to &lt;a href=""https://www.peopleforanimalsindia.org""&gt;animal welfare organizations in Tamil Nadu&lt;/a&gt; to conside"&amp;"r rescue options.&lt;/p&gt;&lt;h3&gt;How can I find qualified veterinary care for a toy puppy near Woraiyur?&lt;/h3&gt;&lt;p&gt;Trusted veterinary clinics operating near Central Bus Stand and Pudukottai Road handle vaccinations, health screenings, and heat stress care for small "&amp;"breeds. If you come across unlicensed breeding kennels or suspect mistreatment, report it through &lt;a href=""https://www.petaindia.com""&gt;cruelty reporting networks&lt;/a&gt; to ensure local animal protection laws are enforced.&lt;/p&gt;&lt;h3&gt;How do Chihuahua puppies man"&amp;"age Trichy's warm climate?&lt;/h3&gt;&lt;p&gt;Chihuahuas adapt well to indoor apartment living across Trichy, provided they stay in cool environments with constant access to fresh water. Plan short outdoor walks around Thillai Nagar during early mornings or late even"&amp;"ings to avoid peak daytime heat.&lt;/p&gt;")</f>
        <v>&lt;h2&gt;Chihuahua Puppies in Trichy, Tamil Nadu - FAQs&lt;/h2&gt;&lt;h3&gt;What municipal requirements apply when keeping a Chihuahua puppy in Trichy?&lt;/h3&gt;&lt;p&gt;Dog owners in residential areas like Thillai Nagar and KK Nagar should register their pets with the Tiruchirappalli City Municipal Corporation and maintain updated rabies vaccination records. Prior to purchasing, check local adoption guidelines or reach out to &lt;a href="https://www.peopleforanimalsindia.org"&gt;animal welfare organizations in Tamil Nadu&lt;/a&gt; to consider rescue options.&lt;/p&gt;&lt;h3&gt;How can I find qualified veterinary care for a toy puppy near Woraiyur?&lt;/h3&gt;&lt;p&gt;Trusted veterinary clinics operating near Central Bus Stand and Pudukottai Road handle vaccinations, health screenings, and heat stress care for small breeds. If you come across unlicensed breeding kennels or suspect mistreatment, report it through &lt;a href="https://www.petaindia.com"&gt;cruelty reporting networks&lt;/a&gt; to ensure local animal protection laws are enforced.&lt;/p&gt;&lt;h3&gt;How do Chihuahua puppies manage Trichy's warm climate?&lt;/h3&gt;&lt;p&gt;Chihuahuas adapt well to indoor apartment living across Trichy, provided they stay in cool environments with constant access to fresh water. Plan short outdoor walks around Thillai Nagar during early mornings or late evenings to avoid peak daytime heat.&lt;/p&gt;</v>
      </c>
    </row>
    <row r="18" spans="1:11" x14ac:dyDescent="0.25">
      <c r="A18" s="2" t="s">
        <v>137</v>
      </c>
      <c r="B18" s="2" t="s">
        <v>12</v>
      </c>
      <c r="C18" s="2" t="s">
        <v>138</v>
      </c>
      <c r="D18" s="2" t="s">
        <v>139</v>
      </c>
      <c r="E18" s="2" t="s">
        <v>138</v>
      </c>
      <c r="F18" s="2" t="s">
        <v>140</v>
      </c>
      <c r="G18" s="2" t="s">
        <v>141</v>
      </c>
      <c r="H18" s="2" t="s">
        <v>142</v>
      </c>
      <c r="I18" s="2" t="s">
        <v>143</v>
      </c>
      <c r="J18" s="2" t="str">
        <f ca="1">IFERROR(__xludf.DUMMYFUNCTION("AI(""Act as an expert copywriter and automotive maintenance specialist. Write a unique, 1-paragraph care guide and maintenance cost breakdown for "" &amp; A18 &amp; "" located in "" &amp; B18 &amp; "". Start the output directly with an HTML h2 heading containing the vehi"&amp;"cle/service name and location (e.g., &lt;h2&gt;"" &amp; A18 &amp; "" Care Guide and Maintenance Costs in "" &amp; B18 &amp; ""&lt;/h2&gt;). Follow the heading with exactly one detailed paragraph of expert-level advice covering preventive maintenance routines, common local wear-and-t"&amp;"ear factors specific to "" &amp; B18 &amp; "", and estimated servicing costs. Ensure the content is completely original, avoids generic filler, and contains no repeated phrasing or duplicate templates across rows."")"),"&lt;h2&gt;Chihuahua Puppies Care Guide and Maintenance Costs in Salem, Tamil Nadu&lt;/h2&gt;Caring for a Chihuahua puppy in Salem, Tamil Nadu requires a tailored wellness routine to handle the region's warm climate near prominent areas like Five Roads, Fairlands, and"&amp;" Hasthampatti. To maintain optimal health, provide high-protein nutrition formulated for toy breeds, ensure constant access to fresh water to mitigate heat stress during warmer months, and maintain strict dental hygiene to prevent early periodontal issues"&amp;". Short, shaded walks along quieter residential streets paired with indoor play keep these energetic pups active while protecting their sensitive paws from hot pavement along busy thoroughfares like NH 544. On average, annual care and maintenance costs in"&amp;" Salem range between ₹15,000 and ₹35,000, covering premium puppy food, routine veterinary health checks, core vaccinations, deworming, and essential grooming supplies.")</f>
        <v>&lt;h2&gt;Chihuahua Puppies Care Guide and Maintenance Costs in Salem, Tamil Nadu&lt;/h2&gt;Caring for a Chihuahua puppy in Salem, Tamil Nadu requires a tailored wellness routine to handle the region's warm climate near prominent areas like Five Roads, Fairlands, and Hasthampatti. To maintain optimal health, provide high-protein nutrition formulated for toy breeds, ensure constant access to fresh water to mitigate heat stress during warmer months, and maintain strict dental hygiene to prevent early periodontal issues. Short, shaded walks along quieter residential streets paired with indoor play keep these energetic pups active while protecting their sensitive paws from hot pavement along busy thoroughfares like NH 544. On average, annual care and maintenance costs in Salem range between ₹15,000 and ₹35,000, covering premium puppy food, routine veterinary health checks, core vaccinations, deworming, and essential grooming supplies.</v>
      </c>
      <c r="K18" s="2" t="str">
        <f ca="1">IFERROR(__xludf.DUMMYFUNCTION("AI(""Write 3 unique FAQs in HTML format for "" &amp; A18 &amp; "" in "" &amp; B18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for Sale in Salem, Tamil Nadu - FAQs&lt;/h2&gt;&lt;h3&gt;What local regulations and health guidelines apply when getting a Chihuahua puppy in Salem?&lt;/h3&gt;&lt;p&gt;Pet owners around Five Roads and Hasthampatti must adhere to Salem City Municipal Corpora"&amp;"tion rules regarding mandatory anti-rabies vaccinations and licensing. Prospective owners should review ethical breeding practices or support &lt;a href=""https://www.peopleforanimalsindia.org""&gt;local pet rescue organizations&lt;/a&gt; to consider adoption options"&amp;".&lt;/p&gt;&lt;h3&gt;How do I manage climate care and find veterinary services in Salem for a toy breed?&lt;/h3&gt;&lt;p&gt;Veterinary clinics near Fairlands and Saradha College Main Road offer routine health checks, vaccinations, and dental care tailored for toy breeds sensitiv"&amp;"e to heat. If you encounter mistreatment or illegal breeding facilities along the NH 544 corridor, reach out to &lt;a href=""https://www.petaindia.com""&gt;cruelty reporting channels&lt;/a&gt; to protect animal safety.&lt;/p&gt;&lt;h3&gt;Are Chihuahua puppies well-suited for res"&amp;"idential living in Salem?&lt;/h3&gt;&lt;p&gt;Yes, their compact size makes Chihuahuas ideal for homes in Alagapuram and Swarnapuri. Providing indoor activities alongside brief, shaded morning strolls protects their paws from hot summer pavement while maintaining prop"&amp;"er physical fitness.&lt;/p&gt;")</f>
        <v>&lt;h2&gt;Chihuahua Puppies for Sale in Salem, Tamil Nadu - FAQs&lt;/h2&gt;&lt;h3&gt;What local regulations and health guidelines apply when getting a Chihuahua puppy in Salem?&lt;/h3&gt;&lt;p&gt;Pet owners around Five Roads and Hasthampatti must adhere to Salem City Municipal Corporation rules regarding mandatory anti-rabies vaccinations and licensing. Prospective owners should review ethical breeding practices or support &lt;a href="https://www.peopleforanimalsindia.org"&gt;local pet rescue organizations&lt;/a&gt; to consider adoption options.&lt;/p&gt;&lt;h3&gt;How do I manage climate care and find veterinary services in Salem for a toy breed?&lt;/h3&gt;&lt;p&gt;Veterinary clinics near Fairlands and Saradha College Main Road offer routine health checks, vaccinations, and dental care tailored for toy breeds sensitive to heat. If you encounter mistreatment or illegal breeding facilities along the NH 544 corridor, reach out to &lt;a href="https://www.petaindia.com"&gt;cruelty reporting channels&lt;/a&gt; to protect animal safety.&lt;/p&gt;&lt;h3&gt;Are Chihuahua puppies well-suited for residential living in Salem?&lt;/h3&gt;&lt;p&gt;Yes, their compact size makes Chihuahuas ideal for homes in Alagapuram and Swarnapuri. Providing indoor activities alongside brief, shaded morning strolls protects their paws from hot summer pavement while maintaining proper physical fitness.&lt;/p&gt;</v>
      </c>
    </row>
    <row r="19" spans="1:11" x14ac:dyDescent="0.25">
      <c r="A19" s="2" t="s">
        <v>144</v>
      </c>
      <c r="B19" s="2" t="s">
        <v>12</v>
      </c>
      <c r="C19" s="2" t="s">
        <v>145</v>
      </c>
      <c r="D19" s="2" t="s">
        <v>146</v>
      </c>
      <c r="E19" s="2" t="s">
        <v>147</v>
      </c>
      <c r="F19" s="2" t="s">
        <v>148</v>
      </c>
      <c r="G19" s="2" t="s">
        <v>149</v>
      </c>
      <c r="H19" s="2" t="s">
        <v>150</v>
      </c>
      <c r="I19" s="2" t="s">
        <v>151</v>
      </c>
      <c r="J19" s="2" t="str">
        <f ca="1">IFERROR(__xludf.DUMMYFUNCTION("AI(""Act as an expert copywriter and automotive maintenance specialist. Write a unique, 1-paragraph care guide and maintenance cost breakdown for "" &amp; A19 &amp; "" located in "" &amp; B19 &amp; "". Start the output directly with an HTML h2 heading containing the vehi"&amp;"cle/service name and location (e.g., &lt;h2&gt;"" &amp; A19 &amp; "" Care Guide and Maintenance Costs in "" &amp; B19 &amp; ""&lt;/h2&gt;). Follow the heading with exactly one detailed paragraph of expert-level advice covering preventive maintenance routines, common local wear-and-t"&amp;"ear factors specific to "" &amp; B19 &amp; "", and estimated servicing costs. Ensure the content is completely original, avoids generic filler, and contains no repeated phrasing or duplicate templates across rows."")"),"&lt;h2&gt;Chihuahua Puppies Care Guide and Maintenance Costs in Erode, Tamil Nadu&lt;/h2&gt;Raising a healthy Chihuahua puppy in Erode requires a tailored wellness routine designed to handle the region's warm climate along the Kaveri corridor. To maintain optimal vit"&amp;"ality, focus on feeding high-quality nutrient-dense kibble suited for toy breeds, ensuring constant hydration, and providing indoor exercise alongside shaded morning walks around residential areas like Thindal and Perundurai Road. Protecting small pups fr"&amp;"om high summer temperatures requires proper ventilation, heat management, and routine tick control. Additionally, maintaining oral hygiene through regular dental brushing is crucial to prevent early periodontal issues common in miniature breeds. On averag"&amp;"e, annual care and maintenance costs for a Chihuahua in Erode range between ₹15,000 and ₹35,000, covering specialized puppy food, routine veterinary checkups, core vaccinations, preventive deworming, and periodic grooming treatments.")</f>
        <v>&lt;h2&gt;Chihuahua Puppies Care Guide and Maintenance Costs in Erode, Tamil Nadu&lt;/h2&gt;Raising a healthy Chihuahua puppy in Erode requires a tailored wellness routine designed to handle the region's warm climate along the Kaveri corridor. To maintain optimal vitality, focus on feeding high-quality nutrient-dense kibble suited for toy breeds, ensuring constant hydration, and providing indoor exercise alongside shaded morning walks around residential areas like Thindal and Perundurai Road. Protecting small pups from high summer temperatures requires proper ventilation, heat management, and routine tick control. Additionally, maintaining oral hygiene through regular dental brushing is crucial to prevent early periodontal issues common in miniature breeds. On average, annual care and maintenance costs for a Chihuahua in Erode range between ₹15,000 and ₹35,000, covering specialized puppy food, routine veterinary checkups, core vaccinations, preventive deworming, and periodic grooming treatments.</v>
      </c>
      <c r="K19" s="2" t="str">
        <f ca="1">IFERROR(__xludf.DUMMYFUNCTION("AI(""Write 3 unique FAQs in HTML format for "" &amp; A19 &amp; "" in "" &amp; B19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for Sale in Erode, Tamil Nadu - FAQs&lt;/h2&gt;&lt;h3&gt;What municipal guidelines apply when buying a Chihuahua puppy in Erode?&lt;/h3&gt;&lt;p&gt;Pet owners around Perundurai Road and Thindal must adhere to Erode City Municipal Corporation mandates, ensur"&amp;"ing timely rabies immunizations and proper shelter. Prior to purchasing, consider reviewing &lt;a href=""https://www.peopleforanimalsindia.org""&gt;local pet rescue organizations&lt;/a&gt; to evaluate ethical adoption possibilities.&lt;/p&gt;&lt;h3&gt;Where can I find reliable v"&amp;"et care and address animal welfare concerns in Erode?&lt;/h3&gt;&lt;p&gt;Veterinary facilities near Brough Road and Surampatti offer specialized care and routine vaccinations for toy breeds. If you witness illegal breeding practices or neglect in the area, report the"&amp;"m immediately to &lt;a href=""https://www.petaindia.com""&gt;cruelty reporting networks&lt;/a&gt; for swift action.&lt;/p&gt;&lt;h3&gt;Are Chihuahua puppies suited to the local climate in Erode?&lt;/h3&gt;&lt;p&gt;Yes, but their small size requires protection from intense summer heat along "&amp;"the Kaveri corridor. Providing indoor climate control, fresh water, and early morning walks near Thindal ensures your puppy stays healthy and active.&lt;/p&gt;")</f>
        <v>&lt;h2&gt;Chihuahua Puppies for Sale in Erode, Tamil Nadu - FAQs&lt;/h2&gt;&lt;h3&gt;What municipal guidelines apply when buying a Chihuahua puppy in Erode?&lt;/h3&gt;&lt;p&gt;Pet owners around Perundurai Road and Thindal must adhere to Erode City Municipal Corporation mandates, ensuring timely rabies immunizations and proper shelter. Prior to purchasing, consider reviewing &lt;a href="https://www.peopleforanimalsindia.org"&gt;local pet rescue organizations&lt;/a&gt; to evaluate ethical adoption possibilities.&lt;/p&gt;&lt;h3&gt;Where can I find reliable vet care and address animal welfare concerns in Erode?&lt;/h3&gt;&lt;p&gt;Veterinary facilities near Brough Road and Surampatti offer specialized care and routine vaccinations for toy breeds. If you witness illegal breeding practices or neglect in the area, report them immediately to &lt;a href="https://www.petaindia.com"&gt;cruelty reporting networks&lt;/a&gt; for swift action.&lt;/p&gt;&lt;h3&gt;Are Chihuahua puppies suited to the local climate in Erode?&lt;/h3&gt;&lt;p&gt;Yes, but their small size requires protection from intense summer heat along the Kaveri corridor. Providing indoor climate control, fresh water, and early morning walks near Thindal ensures your puppy stays healthy and active.&lt;/p&gt;</v>
      </c>
    </row>
    <row r="20" spans="1:11" x14ac:dyDescent="0.25">
      <c r="A20" s="2" t="s">
        <v>152</v>
      </c>
      <c r="B20" s="2" t="s">
        <v>12</v>
      </c>
      <c r="C20" s="2" t="s">
        <v>153</v>
      </c>
      <c r="D20" s="2" t="s">
        <v>154</v>
      </c>
      <c r="E20" s="2" t="s">
        <v>155</v>
      </c>
      <c r="F20" s="2" t="s">
        <v>156</v>
      </c>
      <c r="G20" s="2" t="s">
        <v>157</v>
      </c>
      <c r="H20" s="2" t="s">
        <v>158</v>
      </c>
      <c r="I20" s="2" t="s">
        <v>159</v>
      </c>
      <c r="J20" s="2" t="str">
        <f ca="1">IFERROR(__xludf.DUMMYFUNCTION("AI(""Act as an expert copywriter and automotive maintenance specialist. Write a unique, 1-paragraph care guide and maintenance cost breakdown for "" &amp; A20 &amp; "" located in "" &amp; B20 &amp; "". Start the output directly with an HTML h2 heading containing the vehi"&amp;"cle/service name and location (e.g., &lt;h2&gt;"" &amp; A20 &amp; "" Care Guide and Maintenance Costs in "" &amp; B20 &amp; ""&lt;/h2&gt;). Follow the heading with exactly one detailed paragraph of expert-level advice covering preventive maintenance routines, common local wear-and-t"&amp;"ear factors specific to "" &amp; B20 &amp; "", and estimated servicing costs. Ensure the content is completely original, avoids generic filler, and contains no repeated phrasing or duplicate templates across rows."")"),"&lt;h2&gt;Chihuahua Puppies Care Guide and Maintenance Costs in Madurai, Tamil Nadu&lt;/h2&gt;Caring for a Chihuahua puppy in Madurai's warm, tropical climate requires a well-planned health and care routine tailored to local conditions. Due to high temperatures in re"&amp;"gions near KK Nagar and Anna Nagar, keeping your toy breed well-hydrated and housed in well-ventilated, air-conditioned spaces is crucial to prevent heat stress and hypoglycemia. Focus on high-protein, small-kibble nutrition designed for toy breeds, along"&amp;" with regular dental care to avoid early periodontal issues. Because warm weather increases parasite exposure, consistent tick and flea preventive treatments are essential. Annual maintenance costs for raising a Chihuahua in Madurai typically range from ₹"&amp;"15,000 to ₹35,000, which accounts for premium diet requirements, routine veterinary visits, mandatory rabies and core vaccinations, periodic deworming, and basic professional grooming.")</f>
        <v>&lt;h2&gt;Chihuahua Puppies Care Guide and Maintenance Costs in Madurai, Tamil Nadu&lt;/h2&gt;Caring for a Chihuahua puppy in Madurai's warm, tropical climate requires a well-planned health and care routine tailored to local conditions. Due to high temperatures in regions near KK Nagar and Anna Nagar, keeping your toy breed well-hydrated and housed in well-ventilated, air-conditioned spaces is crucial to prevent heat stress and hypoglycemia. Focus on high-protein, small-kibble nutrition designed for toy breeds, along with regular dental care to avoid early periodontal issues. Because warm weather increases parasite exposure, consistent tick and flea preventive treatments are essential. Annual maintenance costs for raising a Chihuahua in Madurai typically range from ₹15,000 to ₹35,000, which accounts for premium diet requirements, routine veterinary visits, mandatory rabies and core vaccinations, periodic deworming, and basic professional grooming.</v>
      </c>
      <c r="K20" s="2" t="str">
        <f ca="1">IFERROR(__xludf.DUMMYFUNCTION("AI(""Write 3 unique FAQs in HTML format for "" &amp; A20 &amp; "" in "" &amp; B20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Madurai, Tamil Nadu - FAQs&lt;/h2&gt;&lt;h3&gt;What municipal guidelines apply when buying a Chihuahua puppy in Madurai?&lt;/h3&gt;&lt;p&gt;Pet owners across KK Nagar and Anna Nagar must follow Madurai Corporation regulations, which require valid rabies "&amp;"vaccination records and adherence to local pet management rules. Prior to buying, consider reviewing ethical sourcing options or reaching out to &lt;a href=""https://www.peopleforanimalsindia.org""&gt;rescue and welfare organizations&lt;/a&gt; to explore adoption alt"&amp;"ernatives in Madurai.&lt;/p&gt;&lt;h3&gt;Where can I find reliable nearby vet care for toy breeds in Madurai?&lt;/h3&gt;&lt;p&gt;Veterinary centers located near Simmakkal and the Vaigai River belt offer specialized pediatric care, heatstroke prevention, and vaccination services "&amp;"for compact dogs. If you observe illegal breeding practices or neglect around local markets, notify &lt;a href=""https://www.petaindia.com""&gt;animal protection advocates&lt;/a&gt; to take appropriate action.&lt;/p&gt;&lt;h3&gt;How do Chihuahua puppies manage Madurai's tropical"&amp;" climate?&lt;/h3&gt;&lt;p&gt;Due to intense heat near areas like Madurai Junction, toy breeds require shaded, well-ventilated indoor spaces and continuous hydration. Short morning walks near quiet residential streets keep them active while avoiding daytime temperatur"&amp;"e spikes.&lt;/p&gt;")</f>
        <v>&lt;h2&gt;Chihuahua Puppies in Madurai, Tamil Nadu - FAQs&lt;/h2&gt;&lt;h3&gt;What municipal guidelines apply when buying a Chihuahua puppy in Madurai?&lt;/h3&gt;&lt;p&gt;Pet owners across KK Nagar and Anna Nagar must follow Madurai Corporation regulations, which require valid rabies vaccination records and adherence to local pet management rules. Prior to buying, consider reviewing ethical sourcing options or reaching out to &lt;a href="https://www.peopleforanimalsindia.org"&gt;rescue and welfare organizations&lt;/a&gt; to explore adoption alternatives in Madurai.&lt;/p&gt;&lt;h3&gt;Where can I find reliable nearby vet care for toy breeds in Madurai?&lt;/h3&gt;&lt;p&gt;Veterinary centers located near Simmakkal and the Vaigai River belt offer specialized pediatric care, heatstroke prevention, and vaccination services for compact dogs. If you observe illegal breeding practices or neglect around local markets, notify &lt;a href="https://www.petaindia.com"&gt;animal protection advocates&lt;/a&gt; to take appropriate action.&lt;/p&gt;&lt;h3&gt;How do Chihuahua puppies manage Madurai's tropical climate?&lt;/h3&gt;&lt;p&gt;Due to intense heat near areas like Madurai Junction, toy breeds require shaded, well-ventilated indoor spaces and continuous hydration. Short morning walks near quiet residential streets keep them active while avoiding daytime temperature spikes.&lt;/p&gt;</v>
      </c>
    </row>
    <row r="21" spans="1:11" x14ac:dyDescent="0.25">
      <c r="A21" s="2" t="s">
        <v>160</v>
      </c>
      <c r="B21" s="2" t="s">
        <v>12</v>
      </c>
      <c r="C21" s="2" t="s">
        <v>161</v>
      </c>
      <c r="D21" s="2" t="s">
        <v>162</v>
      </c>
      <c r="E21" s="2" t="s">
        <v>163</v>
      </c>
      <c r="F21" s="2" t="s">
        <v>164</v>
      </c>
      <c r="G21" s="2" t="s">
        <v>165</v>
      </c>
      <c r="H21" s="2" t="s">
        <v>166</v>
      </c>
      <c r="I21" s="2" t="s">
        <v>167</v>
      </c>
      <c r="J21" s="2" t="str">
        <f ca="1">IFERROR(__xludf.DUMMYFUNCTION("AI(""Act as an expert copywriter and automotive maintenance specialist. Write a unique, 1-paragraph care guide and maintenance cost breakdown for "" &amp; A21 &amp; "" located in "" &amp; B21 &amp; "". Start the output directly with an HTML h2 heading containing the vehi"&amp;"cle/service name and location (e.g., &lt;h2&gt;"" &amp; A21 &amp; "" Care Guide and Maintenance Costs in "" &amp; B21 &amp; ""&lt;/h2&gt;). Follow the heading with exactly one detailed paragraph of expert-level advice covering preventive maintenance routines, common local wear-and-t"&amp;"ear factors specific to "" &amp; B21 &amp; "", and estimated servicing costs. Ensure the content is completely original, avoids generic filler, and contains no repeated phrasing or duplicate templates across rows."")"),"&lt;h2&gt;Chihuahua Puppies Care Guide and Maintenance Costs in Coimbatore, Tamil Nadu&lt;/h2&gt;Caring for a Chihuahua puppy in Coimbatore requires a tailored wellness routine suited to South India's warm, tropical climate. Prioritize high-quality, small-kibble nutr"&amp;"ition high in protein to maintain their fast metabolism, ensure consistent indoor climate control to prevent heat stress, and establish daily oral hygiene habits to safeguard against early dental issues. In bustling residential hubs like RS Puram, DB Road"&amp;", and Avinashi Road, keep outdoor walks brief during peak sunlight hours to protect their sensitive paws from hot asphalt while keeping up with tick and flea prevention. On average, annual maintenance costs in Coimbatore range between ₹15,000 and ₹35,000,"&amp;" covering premium breed-specific food, routine veterinary health checks, core vaccinations, timely deworming, and regular grooming sessions.")</f>
        <v>&lt;h2&gt;Chihuahua Puppies Care Guide and Maintenance Costs in Coimbatore, Tamil Nadu&lt;/h2&gt;Caring for a Chihuahua puppy in Coimbatore requires a tailored wellness routine suited to South India's warm, tropical climate. Prioritize high-quality, small-kibble nutrition high in protein to maintain their fast metabolism, ensure consistent indoor climate control to prevent heat stress, and establish daily oral hygiene habits to safeguard against early dental issues. In bustling residential hubs like RS Puram, DB Road, and Avinashi Road, keep outdoor walks brief during peak sunlight hours to protect their sensitive paws from hot asphalt while keeping up with tick and flea prevention. On average, annual maintenance costs in Coimbatore range between ₹15,000 and ₹35,000, covering premium breed-specific food, routine veterinary health checks, core vaccinations, timely deworming, and regular grooming sessions.</v>
      </c>
      <c r="K21" s="2" t="str">
        <f ca="1">IFERROR(__xludf.DUMMYFUNCTION("AI(""Write 3 unique FAQs in HTML format for "" &amp; A21 &amp; "" in "" &amp; B21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Coimbatore, Tamil Nadu - FAQs&lt;/h2&gt;&lt;h3&gt;What municipal regulations and licensing apply to Chihuahua owners in Coimbatore?&lt;/h3&gt;&lt;p&gt;Pet parents around RS Puram and Avinashi Road must comply with Coimbatore City Municipal Corporation gu"&amp;"idelines by maintaining valid rabies vaccination records and obtaining local dog licenses. Before purchasing, consider reviewing local ethical sourcing guidelines or reaching out to &lt;a href=""https://www.peopleforanimalsindia.org""&gt;compassionate animal re"&amp;"scue organizations&lt;/a&gt; for pet adoption options.&lt;/p&gt;&lt;h3&gt;Where can I find nearby vet care for Chihuahua puppies in Coimbatore?&lt;/h3&gt;&lt;p&gt;Trusted veterinary clinics located near Gandhipuram and DB Road provide routine vaccinations, microchipping, and specializ"&amp;"ed health evaluations for toy breeds. If you witness illegal breeding facilities or animal mistreatment near commercial hubs, submit a report through &lt;a href=""https://www.petaindia.com""&gt;cruelty prevention channels&lt;/a&gt;.&lt;/p&gt;&lt;h3&gt;How do I protect a Chihuahu"&amp;"a puppy from the summer heat in Coimbatore?&lt;/h3&gt;&lt;p&gt;Due to South India's warm tropical climate, keep your puppy in well-ventilated indoor areas during peak afternoon hours and walk them during cooler early mornings around quiet residential avenues near Bro"&amp;"okefields Mall.&lt;/p&gt;")</f>
        <v>&lt;h2&gt;Chihuahua Puppies in Coimbatore, Tamil Nadu - FAQs&lt;/h2&gt;&lt;h3&gt;What municipal regulations and licensing apply to Chihuahua owners in Coimbatore?&lt;/h3&gt;&lt;p&gt;Pet parents around RS Puram and Avinashi Road must comply with Coimbatore City Municipal Corporation guidelines by maintaining valid rabies vaccination records and obtaining local dog licenses. Before purchasing, consider reviewing local ethical sourcing guidelines or reaching out to &lt;a href="https://www.peopleforanimalsindia.org"&gt;compassionate animal rescue organizations&lt;/a&gt; for pet adoption options.&lt;/p&gt;&lt;h3&gt;Where can I find nearby vet care for Chihuahua puppies in Coimbatore?&lt;/h3&gt;&lt;p&gt;Trusted veterinary clinics located near Gandhipuram and DB Road provide routine vaccinations, microchipping, and specialized health evaluations for toy breeds. If you witness illegal breeding facilities or animal mistreatment near commercial hubs, submit a report through &lt;a href="https://www.petaindia.com"&gt;cruelty prevention channels&lt;/a&gt;.&lt;/p&gt;&lt;h3&gt;How do I protect a Chihuahua puppy from the summer heat in Coimbatore?&lt;/h3&gt;&lt;p&gt;Due to South India's warm tropical climate, keep your puppy in well-ventilated indoor areas during peak afternoon hours and walk them during cooler early mornings around quiet residential avenues near Brookefields Mall.&lt;/p&gt;</v>
      </c>
    </row>
    <row r="22" spans="1:11" x14ac:dyDescent="0.25">
      <c r="A22" s="2" t="s">
        <v>168</v>
      </c>
      <c r="B22" s="2" t="s">
        <v>12</v>
      </c>
      <c r="C22" s="2" t="s">
        <v>169</v>
      </c>
      <c r="D22" s="2" t="s">
        <v>170</v>
      </c>
      <c r="E22" s="2" t="s">
        <v>171</v>
      </c>
      <c r="F22" s="2" t="s">
        <v>172</v>
      </c>
      <c r="G22" s="2" t="s">
        <v>173</v>
      </c>
      <c r="H22" s="2" t="s">
        <v>174</v>
      </c>
      <c r="I22" s="2" t="s">
        <v>175</v>
      </c>
      <c r="J22" s="2" t="str">
        <f ca="1">IFERROR(__xludf.DUMMYFUNCTION("AI(""Act as an expert copywriter and automotive maintenance specialist. Write a unique, 1-paragraph care guide and maintenance cost breakdown for "" &amp; A22 &amp; "" located in "" &amp; B22 &amp; "". Start the output directly with an HTML h2 heading containing the vehi"&amp;"cle/service name and location (e.g., &lt;h2&gt;"" &amp; A22 &amp; "" Care Guide and Maintenance Costs in "" &amp; B22 &amp; ""&lt;/h2&gt;). Follow the heading with exactly one detailed paragraph of expert-level advice covering preventive maintenance routines, common local wear-and-t"&amp;"ear factors specific to "" &amp; B22 &amp; "", and estimated servicing costs. Ensure the content is completely original, avoids generic filler, and contains no repeated phrasing or duplicate templates across rows."")"),"&lt;h2&gt;Chihuahua Puppies Care Guide and Maintenance Costs in Ooty, Tamil Nadu&lt;/h2&gt;Caring for a Chihuahua puppy in the chilly, high-altitude climate of Ooty requires specific wellness routines focused on thermal protection and respiratory health. Due to their"&amp;" minute body mass and short coat, toy breeds in the Nilgiris are particularly sensitive to cold mountain air and damp weather, making insulated sweaters, fleece-lined bedding, and draft-free indoor resting spots essential around areas like Charring Cross "&amp;"and Commercial Road. Maintain a calorie-dense, high-protein diet to support metabolic heat production, provide indoor activity options during heavy mist or rains, and keep up with strict dental care to prevent early oral issues. On average, annual care an"&amp;"d maintenance costs in Ooty range between ₹18,000 and ₹40,000, covering premium nutrient-rich kibble, thermal wear, core vaccinations, deworming, routine veterinary wellness checks, and basic grooming supplies.")</f>
        <v>&lt;h2&gt;Chihuahua Puppies Care Guide and Maintenance Costs in Ooty, Tamil Nadu&lt;/h2&gt;Caring for a Chihuahua puppy in the chilly, high-altitude climate of Ooty requires specific wellness routines focused on thermal protection and respiratory health. Due to their minute body mass and short coat, toy breeds in the Nilgiris are particularly sensitive to cold mountain air and damp weather, making insulated sweaters, fleece-lined bedding, and draft-free indoor resting spots essential around areas like Charring Cross and Commercial Road. Maintain a calorie-dense, high-protein diet to support metabolic heat production, provide indoor activity options during heavy mist or rains, and keep up with strict dental care to prevent early oral issues. On average, annual care and maintenance costs in Ooty range between ₹18,000 and ₹40,000, covering premium nutrient-rich kibble, thermal wear, core vaccinations, deworming, routine veterinary wellness checks, and basic grooming supplies.</v>
      </c>
      <c r="K22" s="2" t="str">
        <f ca="1">IFERROR(__xludf.DUMMYFUNCTION("AI(""Write 3 unique FAQs in HTML format for "" &amp; A22 &amp; "" in "" &amp; B22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Ooty, Tamil Nadu - FAQs&lt;/h2&gt;&lt;h3&gt;What local regulations and animal welfare guidelines apply when getting a Chihuahua in Ooty?&lt;/h3&gt;&lt;p&gt;Pet parents across the Nilgiris district must ensure proper rabies vaccinations and comply with lo"&amp;"cal municipal registration rules. Prospective owners are encouraged to review &lt;a href=""https://www.peopleforanimalsindia.org""&gt;local adoption guidelines&lt;/a&gt; or verify that commercial breeders adhere to ethical handling standards.&lt;/p&gt;&lt;h3&gt;How should I prot"&amp;"ect a Chihuahua puppy against Ooty's cold high-altitude climate?&lt;/h3&gt;&lt;p&gt;Given the chilly weather near Charring Cross and Commercial Road, provide warm thermal sweaters, draft-free bedding, and calorie-dense nutrition. For routine immunizations and climate"&amp;"-specific guidance, seek nearby vet care around Udhagamandalam.&lt;/p&gt;&lt;h3&gt;Where can I report illegal breeding or pet mistreatment in the Nilgiris area?&lt;/h3&gt;&lt;p&gt;If you suspect unauthorized breeding kennels or encounter animal abuse near local markets, contact "&amp;"&lt;a href=""https://www.petaindia.com""&gt;cruelty reporting organizations&lt;/a&gt; to alert animal protection authorities.&lt;/p&gt;")</f>
        <v>&lt;h2&gt;Chihuahua Puppies in Ooty, Tamil Nadu - FAQs&lt;/h2&gt;&lt;h3&gt;What local regulations and animal welfare guidelines apply when getting a Chihuahua in Ooty?&lt;/h3&gt;&lt;p&gt;Pet parents across the Nilgiris district must ensure proper rabies vaccinations and comply with local municipal registration rules. Prospective owners are encouraged to review &lt;a href="https://www.peopleforanimalsindia.org"&gt;local adoption guidelines&lt;/a&gt; or verify that commercial breeders adhere to ethical handling standards.&lt;/p&gt;&lt;h3&gt;How should I protect a Chihuahua puppy against Ooty's cold high-altitude climate?&lt;/h3&gt;&lt;p&gt;Given the chilly weather near Charring Cross and Commercial Road, provide warm thermal sweaters, draft-free bedding, and calorie-dense nutrition. For routine immunizations and climate-specific guidance, seek nearby vet care around Udhagamandalam.&lt;/p&gt;&lt;h3&gt;Where can I report illegal breeding or pet mistreatment in the Nilgiris area?&lt;/h3&gt;&lt;p&gt;If you suspect unauthorized breeding kennels or encounter animal abuse near local markets, contact &lt;a href="https://www.petaindia.com"&gt;cruelty reporting organizations&lt;/a&gt; to alert animal protection authorities.&lt;/p&gt;</v>
      </c>
    </row>
    <row r="23" spans="1:11" x14ac:dyDescent="0.25">
      <c r="A23" s="2" t="s">
        <v>176</v>
      </c>
      <c r="B23" s="2" t="s">
        <v>12</v>
      </c>
      <c r="C23" s="2" t="s">
        <v>177</v>
      </c>
      <c r="D23" s="2" t="s">
        <v>178</v>
      </c>
      <c r="E23" s="2" t="s">
        <v>179</v>
      </c>
      <c r="F23" s="2" t="s">
        <v>180</v>
      </c>
      <c r="G23" s="2" t="s">
        <v>181</v>
      </c>
      <c r="H23" s="2" t="s">
        <v>182</v>
      </c>
      <c r="I23" s="2" t="s">
        <v>183</v>
      </c>
      <c r="J23" s="2" t="str">
        <f ca="1">IFERROR(__xludf.DUMMYFUNCTION("AI(""Act as an expert copywriter and automotive maintenance specialist. Write a unique, 1-paragraph care guide and maintenance cost breakdown for "" &amp; A23 &amp; "" located in "" &amp; B23 &amp; "". Start the output directly with an HTML h2 heading containing the vehi"&amp;"cle/service name and location (e.g., &lt;h2&gt;"" &amp; A23 &amp; "" Care Guide and Maintenance Costs in "" &amp; B23 &amp; ""&lt;/h2&gt;). Follow the heading with exactly one detailed paragraph of expert-level advice covering preventive maintenance routines, common local wear-and-t"&amp;"ear factors specific to "" &amp; B23 &amp; "", and estimated servicing costs. Ensure the content is completely original, avoids generic filler, and contains no repeated phrasing or duplicate templates across rows."")"),"&lt;h2&gt;Chihuahua Puppies Care Guide and Maintenance Costs in Kodaikanal, Tamil Nadu&lt;/h2&gt;Caring for a Chihuahua puppy in the chilly, high-altitude hill station of Kodaikanal requires dedicated attention to thermal regulation and cold-weather wellness. Given t"&amp;"heir minimal body fat and high sensitivity to low temperatures, keeping your pup equipped with fleece sweaters, insulated bedding, and indoor heating during misty mornings around Kodaikanal Lake or Bryant Park is essential to prevent hypothermia and hypog"&amp;"lycemia. Prioritize high-calorie, nutrient-dense puppy food to help maintain their metabolic heat, along with regular dental care and protected exercise routines on damp outdoor trails to avoid respiratory distress. Annual maintenance costs in Kodaikanal "&amp;"typically range between ₹15,000 and ₹35,000, which covers premium toy-breed nutrition, cold-weather accessories, routine veterinary visits, mandatory vaccinations, deworming, and periodic grooming.")</f>
        <v>&lt;h2&gt;Chihuahua Puppies Care Guide and Maintenance Costs in Kodaikanal, Tamil Nadu&lt;/h2&gt;Caring for a Chihuahua puppy in the chilly, high-altitude hill station of Kodaikanal requires dedicated attention to thermal regulation and cold-weather wellness. Given their minimal body fat and high sensitivity to low temperatures, keeping your pup equipped with fleece sweaters, insulated bedding, and indoor heating during misty mornings around Kodaikanal Lake or Bryant Park is essential to prevent hypothermia and hypoglycemia. Prioritize high-calorie, nutrient-dense puppy food to help maintain their metabolic heat, along with regular dental care and protected exercise routines on damp outdoor trails to avoid respiratory distress. Annual maintenance costs in Kodaikanal typically range between ₹15,000 and ₹35,000, which covers premium toy-breed nutrition, cold-weather accessories, routine veterinary visits, mandatory vaccinations, deworming, and periodic grooming.</v>
      </c>
      <c r="K23" s="2" t="str">
        <f ca="1">IFERROR(__xludf.DUMMYFUNCTION("AI(""Write 3 unique FAQs in HTML format for "" &amp; A23 &amp; "" in "" &amp; B23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Kodaikanal, Tamil Nadu - FAQs&lt;/h2&gt;&lt;h3&gt;What local animal welfare laws and registration guidelines apply in Kodaikanal?&lt;/h3&gt;&lt;p&gt;Pet owners in the Dindigul district around Coaker's Walk and Bryant Park must maintain up-to-date anti-ra"&amp;"bies vaccination records and adhere to Tamil Nadu local body pet guidelines. Before purchasing a puppy, review ethical breeding practices or consult &lt;a href=""https://www.peopleforanimalsindia.org""&gt;local pet rescue organizations&lt;/a&gt; to consider adoption "&amp;"alternatives.&lt;/p&gt;&lt;h3&gt;Where can I find reliable nearby vet care for a toy breed in Kodaikanal?&lt;/h3&gt;&lt;p&gt;Veterinary services around Kodaikanal Lake and Laws Ghat Road offer routine wellness examinations, thermal management advice, and core immunizations for C"&amp;"hihuahuas. If you witness unethical breeding conditions or animal abuse in the Nilgiris-Dindigul hill region, report the incident to &lt;a href=""https://www.petaindia.com""&gt;cruelty prevention groups&lt;/a&gt;.&lt;/p&gt;&lt;h3&gt;How do I care for a Chihuahua puppy in Kodaika"&amp;"nal's cold hill climate?&lt;/h3&gt;&lt;p&gt;Due to high altitude and damp weather near Coaker's Walk, Chihuahua puppies require fleece apparel, heated indoor spaces, and high-calorie nutrition to prevent hypothermia and hypoglycemia during cold mornings.&lt;/p&gt;")</f>
        <v>&lt;h2&gt;Chihuahua Puppies in Kodaikanal, Tamil Nadu - FAQs&lt;/h2&gt;&lt;h3&gt;What local animal welfare laws and registration guidelines apply in Kodaikanal?&lt;/h3&gt;&lt;p&gt;Pet owners in the Dindigul district around Coaker's Walk and Bryant Park must maintain up-to-date anti-rabies vaccination records and adhere to Tamil Nadu local body pet guidelines. Before purchasing a puppy, review ethical breeding practices or consult &lt;a href="https://www.peopleforanimalsindia.org"&gt;local pet rescue organizations&lt;/a&gt; to consider adoption alternatives.&lt;/p&gt;&lt;h3&gt;Where can I find reliable nearby vet care for a toy breed in Kodaikanal?&lt;/h3&gt;&lt;p&gt;Veterinary services around Kodaikanal Lake and Laws Ghat Road offer routine wellness examinations, thermal management advice, and core immunizations for Chihuahuas. If you witness unethical breeding conditions or animal abuse in the Nilgiris-Dindigul hill region, report the incident to &lt;a href="https://www.petaindia.com"&gt;cruelty prevention groups&lt;/a&gt;.&lt;/p&gt;&lt;h3&gt;How do I care for a Chihuahua puppy in Kodaikanal's cold hill climate?&lt;/h3&gt;&lt;p&gt;Due to high altitude and damp weather near Coaker's Walk, Chihuahua puppies require fleece apparel, heated indoor spaces, and high-calorie nutrition to prevent hypothermia and hypoglycemia during cold mornings.&lt;/p&gt;</v>
      </c>
    </row>
    <row r="24" spans="1:11" x14ac:dyDescent="0.25">
      <c r="A24" s="2" t="s">
        <v>184</v>
      </c>
      <c r="B24" s="2" t="s">
        <v>12</v>
      </c>
      <c r="C24" s="2" t="s">
        <v>185</v>
      </c>
      <c r="D24" s="2" t="s">
        <v>186</v>
      </c>
      <c r="E24" s="2" t="s">
        <v>187</v>
      </c>
      <c r="F24" s="2" t="s">
        <v>188</v>
      </c>
      <c r="G24" s="2" t="s">
        <v>189</v>
      </c>
      <c r="H24" s="2" t="s">
        <v>190</v>
      </c>
      <c r="I24" s="2" t="s">
        <v>191</v>
      </c>
      <c r="J24" s="2" t="str">
        <f ca="1">IFERROR(__xludf.DUMMYFUNCTION("AI(""Act as an expert copywriter and automotive maintenance specialist. Write a unique, 1-paragraph care guide and maintenance cost breakdown for "" &amp; A24 &amp; "" located in "" &amp; B24 &amp; "". Start the output directly with an HTML h2 heading containing the vehi"&amp;"cle/service name and location (e.g., &lt;h2&gt;"" &amp; A24 &amp; "" Care Guide and Maintenance Costs in "" &amp; B24 &amp; ""&lt;/h2&gt;). Follow the heading with exactly one detailed paragraph of expert-level advice covering preventive maintenance routines, common local wear-and-t"&amp;"ear factors specific to "" &amp; B24 &amp; "", and estimated servicing costs. Ensure the content is completely original, avoids generic filler, and contains no repeated phrasing or duplicate templates across rows."")"),"&lt;h2&gt;Chihuahua Puppies Care Guide and Maintenance Costs in Tirupur, Tamil Nadu&lt;/h2&gt;Caring for a Chihuahua puppy in Tirupur requires a thoughtful management routine adapted to the region's warm industrial environment. To support your pet's long-term health "&amp;"near prominent areas like Avinashi Road and Gandhi Nagar, provide high-protein nutrition formulated specifically for toy breeds, ensure continuous hydration to manage warm weather, and establish daily oral hygiene to prevent early periodontal disease. Nav"&amp;"igating busy municipal streets and surrounding textile hubs exposes delicate puppies to ambient dust, traffic noise, and heat stress, making consistent climate control, regular coat grooming, and up-to-date tick prevention essential. On average, annual ma"&amp;"intenance costs in Tirupur range between ₹15,000 and ₹35,000, covering quality puppy food, routine veterinary checkups, core vaccinations, deworming schedules, and periodic grooming treatments.")</f>
        <v>&lt;h2&gt;Chihuahua Puppies Care Guide and Maintenance Costs in Tirupur, Tamil Nadu&lt;/h2&gt;Caring for a Chihuahua puppy in Tirupur requires a thoughtful management routine adapted to the region's warm industrial environment. To support your pet's long-term health near prominent areas like Avinashi Road and Gandhi Nagar, provide high-protein nutrition formulated specifically for toy breeds, ensure continuous hydration to manage warm weather, and establish daily oral hygiene to prevent early periodontal disease. Navigating busy municipal streets and surrounding textile hubs exposes delicate puppies to ambient dust, traffic noise, and heat stress, making consistent climate control, regular coat grooming, and up-to-date tick prevention essential. On average, annual maintenance costs in Tirupur range between ₹15,000 and ₹35,000, covering quality puppy food, routine veterinary checkups, core vaccinations, deworming schedules, and periodic grooming treatments.</v>
      </c>
      <c r="K24" s="2" t="str">
        <f ca="1">IFERROR(__xludf.DUMMYFUNCTION("AI(""Write 3 unique FAQs in HTML format for "" &amp; A24 &amp; "" in "" &amp; B24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Tirupur, Tamil Nadu - FAQs&lt;/h2&gt;&lt;h3&gt;What municipal guidelines apply when acquiring a Chihuahua puppy in Tirupur?&lt;/h3&gt;&lt;p&gt;Pet owners along Avinashi Road and Gandhi Nagar must register their dogs with the Tirupur City Municipal Corpor"&amp;"ation, keep rabies vaccinations up to date, and adhere to local pet ownership norms. To promote ethical practices, review local adoption guidelines or reach out to &lt;a href=""https://www.peopleforanimalsindia.org""&gt;rescue and adoption networks&lt;/a&gt; before p"&amp;"urchasing.&lt;/p&gt;&lt;h3&gt;Where can I access nearby vet care for toy breeds in Tirupur?&lt;/h3&gt;&lt;p&gt;Veterinary clinics near Kumaran Road and Rayapuram offer routine immunizations, health checks, and preventive treatments for small breeds. If you encounter mistreatment"&amp;" or unethical breeding practices in the textile hub, report them through &lt;a href=""https://www.petaindia.com""&gt;animal protection organizations&lt;/a&gt; to ensure compliance with animal welfare standards.&lt;/p&gt;&lt;h3&gt;How do I care for a Chihuahua puppy in Tirupur's "&amp;"climate?&lt;/h3&gt;&lt;p&gt;Due to warm weather near industrial areas, ensure your Chihuahua stays hydrated, resides in a well-ventilated space, and receives regular grooming to manage dust exposure along busy transit routes like Kumaran Road.&lt;/p&gt;")</f>
        <v>&lt;h2&gt;Chihuahua Puppies in Tirupur, Tamil Nadu - FAQs&lt;/h2&gt;&lt;h3&gt;What municipal guidelines apply when acquiring a Chihuahua puppy in Tirupur?&lt;/h3&gt;&lt;p&gt;Pet owners along Avinashi Road and Gandhi Nagar must register their dogs with the Tirupur City Municipal Corporation, keep rabies vaccinations up to date, and adhere to local pet ownership norms. To promote ethical practices, review local adoption guidelines or reach out to &lt;a href="https://www.peopleforanimalsindia.org"&gt;rescue and adoption networks&lt;/a&gt; before purchasing.&lt;/p&gt;&lt;h3&gt;Where can I access nearby vet care for toy breeds in Tirupur?&lt;/h3&gt;&lt;p&gt;Veterinary clinics near Kumaran Road and Rayapuram offer routine immunizations, health checks, and preventive treatments for small breeds. If you encounter mistreatment or unethical breeding practices in the textile hub, report them through &lt;a href="https://www.petaindia.com"&gt;animal protection organizations&lt;/a&gt; to ensure compliance with animal welfare standards.&lt;/p&gt;&lt;h3&gt;How do I care for a Chihuahua puppy in Tirupur's climate?&lt;/h3&gt;&lt;p&gt;Due to warm weather near industrial areas, ensure your Chihuahua stays hydrated, resides in a well-ventilated space, and receives regular grooming to manage dust exposure along busy transit routes like Kumaran Road.&lt;/p&gt;</v>
      </c>
    </row>
    <row r="25" spans="1:11" x14ac:dyDescent="0.25">
      <c r="A25" s="2" t="s">
        <v>192</v>
      </c>
      <c r="B25" s="2" t="s">
        <v>12</v>
      </c>
      <c r="C25" s="2" t="s">
        <v>193</v>
      </c>
      <c r="D25" s="2" t="s">
        <v>194</v>
      </c>
      <c r="E25" s="2" t="s">
        <v>195</v>
      </c>
      <c r="F25" s="2" t="s">
        <v>196</v>
      </c>
      <c r="G25" s="2" t="s">
        <v>197</v>
      </c>
      <c r="H25" s="2" t="s">
        <v>198</v>
      </c>
      <c r="I25" s="2" t="s">
        <v>199</v>
      </c>
      <c r="J25" s="2" t="str">
        <f ca="1">IFERROR(__xludf.DUMMYFUNCTION("AI(""Act as an expert copywriter and automotive maintenance specialist. Write a unique, 1-paragraph care guide and maintenance cost breakdown for "" &amp; A25 &amp; "" located in "" &amp; B25 &amp; "". Start the output directly with an HTML h2 heading containing the vehi"&amp;"cle/service name and location (e.g., &lt;h2&gt;"" &amp; A25 &amp; "" Care Guide and Maintenance Costs in "" &amp; B25 &amp; ""&lt;/h2&gt;). Follow the heading with exactly one detailed paragraph of expert-level advice covering preventive maintenance routines, common local wear-and-t"&amp;"ear factors specific to "" &amp; B25 &amp; "", and estimated servicing costs. Ensure the content is completely original, avoids generic filler, and contains no repeated phrasing or duplicate templates across rows."")"),"&lt;h2&gt;Chihuahua Puppies Care Guide and Maintenance Costs in Karur, Tamil Nadu&lt;/h2&gt;Caring for a Chihuahua puppy in the bustling textile hub of Karur requires a dedicated wellness routine adapted to the region's warm inland climate. To keep your toy breed hea"&amp;"lthy near Kovai Road and Jawahar Bazaar, prioritize a nutrient-dense diet formulated for small breeds, ensure constant access to fresh water to prevent heat exhaustion, and maintain strict daily dental care to avoid early oral health issues. Warm ambient "&amp;"temperatures and dusty urban streets around the Pasupathiswarar Temple precinct make routine tick prevention, coat hygiene, and indoor temperature management essential. On average, annual maintenance costs in Karur range between ₹12,000 and ₹30,000, cover"&amp;"ing high-quality puppy kibble, routine veterinary checkups, core vaccinations, deworming, and essential grooming supplies.")</f>
        <v>&lt;h2&gt;Chihuahua Puppies Care Guide and Maintenance Costs in Karur, Tamil Nadu&lt;/h2&gt;Caring for a Chihuahua puppy in the bustling textile hub of Karur requires a dedicated wellness routine adapted to the region's warm inland climate. To keep your toy breed healthy near Kovai Road and Jawahar Bazaar, prioritize a nutrient-dense diet formulated for small breeds, ensure constant access to fresh water to prevent heat exhaustion, and maintain strict daily dental care to avoid early oral health issues. Warm ambient temperatures and dusty urban streets around the Pasupathiswarar Temple precinct make routine tick prevention, coat hygiene, and indoor temperature management essential. On average, annual maintenance costs in Karur range between ₹12,000 and ₹30,000, covering high-quality puppy kibble, routine veterinary checkups, core vaccinations, deworming, and essential grooming supplies.</v>
      </c>
      <c r="K25" s="2" t="str">
        <f ca="1">IFERROR(__xludf.DUMMYFUNCTION("AI(""Write 3 unique FAQs in HTML format for "" &amp; A25 &amp; "" in "" &amp; B25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for Sale in Karur, Tamil Nadu - FAQs&lt;/h2&gt;&lt;h3&gt;What municipal rules and local adoption guidelines apply in Karur?&lt;/h3&gt;&lt;p&gt;Pet owners near Kovai Road and Jawahar Bazaar should register their Chihuahua with the Karur City Municipal Corpor"&amp;"ation and keep rabies vaccinations current. Before buying, review ethical pet ownership standards or connect with &lt;a href=""https://www.peopleforanimalsindia.org""&gt;local animal rescue networks&lt;/a&gt; to consider adoption options.&lt;/p&gt;&lt;h3&gt;How can I report unet"&amp;"hical breeding or pet neglect in Karur?&lt;/h3&gt;&lt;p&gt;If you encounter unauthorized breeding setups or poor welfare conditions around the Pasupathiswarar Temple area, reach out to &lt;a href=""https://www.petaindia.com""&gt;animal protection advocates&lt;/a&gt; to lodge a f"&amp;"ormal cruelty complaint and ensure statutory standards are enforced.&lt;/p&gt;&lt;h3&gt;Where can I find reliable vet care for small breed puppies in Karur?&lt;/h3&gt;&lt;p&gt;Veterinary services located near the New Bus Stand and Kovai Road offer dedicated health checks, vaccin"&amp;"ation schedules, and nutritional guidance tailored to toy breeds managing Karur's warm inland climate.&lt;/p&gt;")</f>
        <v>&lt;h2&gt;Chihuahua Puppies for Sale in Karur, Tamil Nadu - FAQs&lt;/h2&gt;&lt;h3&gt;What municipal rules and local adoption guidelines apply in Karur?&lt;/h3&gt;&lt;p&gt;Pet owners near Kovai Road and Jawahar Bazaar should register their Chihuahua with the Karur City Municipal Corporation and keep rabies vaccinations current. Before buying, review ethical pet ownership standards or connect with &lt;a href="https://www.peopleforanimalsindia.org"&gt;local animal rescue networks&lt;/a&gt; to consider adoption options.&lt;/p&gt;&lt;h3&gt;How can I report unethical breeding or pet neglect in Karur?&lt;/h3&gt;&lt;p&gt;If you encounter unauthorized breeding setups or poor welfare conditions around the Pasupathiswarar Temple area, reach out to &lt;a href="https://www.petaindia.com"&gt;animal protection advocates&lt;/a&gt; to lodge a formal cruelty complaint and ensure statutory standards are enforced.&lt;/p&gt;&lt;h3&gt;Where can I find reliable vet care for small breed puppies in Karur?&lt;/h3&gt;&lt;p&gt;Veterinary services located near the New Bus Stand and Kovai Road offer dedicated health checks, vaccination schedules, and nutritional guidance tailored to toy breeds managing Karur's warm inland climate.&lt;/p&gt;</v>
      </c>
    </row>
    <row r="26" spans="1:11" x14ac:dyDescent="0.25">
      <c r="A26" s="2" t="s">
        <v>200</v>
      </c>
      <c r="B26" s="2" t="s">
        <v>12</v>
      </c>
      <c r="C26" s="2" t="s">
        <v>201</v>
      </c>
      <c r="D26" s="2" t="s">
        <v>202</v>
      </c>
      <c r="E26" s="2" t="s">
        <v>203</v>
      </c>
      <c r="F26" s="2" t="s">
        <v>204</v>
      </c>
      <c r="G26" s="2" t="s">
        <v>205</v>
      </c>
      <c r="H26" s="2" t="s">
        <v>206</v>
      </c>
      <c r="I26" s="2" t="s">
        <v>207</v>
      </c>
      <c r="J26" s="2" t="str">
        <f ca="1">IFERROR(__xludf.DUMMYFUNCTION("AI(""Act as an expert copywriter and automotive maintenance specialist. Write a unique, 1-paragraph care guide and maintenance cost breakdown for "" &amp; A26 &amp; "" located in "" &amp; B26 &amp; "". Start the output directly with an HTML h2 heading containing the vehi"&amp;"cle/service name and location (e.g., &lt;h2&gt;"" &amp; A26 &amp; "" Care Guide and Maintenance Costs in "" &amp; B26 &amp; ""&lt;/h2&gt;). Follow the heading with exactly one detailed paragraph of expert-level advice covering preventive maintenance routines, common local wear-and-t"&amp;"ear factors specific to "" &amp; B26 &amp; "", and estimated servicing costs. Ensure the content is completely original, avoids generic filler, and contains no repeated phrasing or duplicate templates across rows."")"),"&lt;h2&gt;Chihuahua Puppies Care Guide and Maintenance Costs in RS Puram, Coimbatore&lt;/h2&gt;Caring for a Chihuahua puppy in the upscale neighborhood of RS Puram, Coimbatore requires a consistent wellness and care routine tailored for compact urban living. To ensur"&amp;"e optimal vitality, provide high-protein nutrition specifically formulated for toy breeds, engage in indoor mental play alongside gentle morning strolls near DB Road or Kumaraswamy Park, and maintain daily dental care to avoid early periodontal issues. Co"&amp;"imbatore's warm, tropical climate makes heat management, constant access to fresh water, tick prevention, and regular grooming essential for sensitive toy companions. On average, annual maintenance costs in RS Puram range between ₹15,000 and ₹35,000, cove"&amp;"ring premium puppy food, routine veterinary checkups, core vaccinations, deworming, and professional grooming services.")</f>
        <v>&lt;h2&gt;Chihuahua Puppies Care Guide and Maintenance Costs in RS Puram, Coimbatore&lt;/h2&gt;Caring for a Chihuahua puppy in the upscale neighborhood of RS Puram, Coimbatore requires a consistent wellness and care routine tailored for compact urban living. To ensure optimal vitality, provide high-protein nutrition specifically formulated for toy breeds, engage in indoor mental play alongside gentle morning strolls near DB Road or Kumaraswamy Park, and maintain daily dental care to avoid early periodontal issues. Coimbatore's warm, tropical climate makes heat management, constant access to fresh water, tick prevention, and regular grooming essential for sensitive toy companions. On average, annual maintenance costs in RS Puram range between ₹15,000 and ₹35,000, covering premium puppy food, routine veterinary checkups, core vaccinations, deworming, and professional grooming services.</v>
      </c>
      <c r="K26" s="2" t="str">
        <f ca="1">IFERROR(__xludf.DUMMYFUNCTION("AI(""Write 3 unique FAQs in HTML format for "" &amp; A26 &amp; "" in "" &amp; B26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RS Puram, Coimbatore - FAQs&lt;/h2&gt;&lt;h3&gt;What local pet registration laws apply to Chihuahua owners in RS Puram?&lt;/h3&gt;&lt;p&gt;Pet owners near DB Road and TV Swamy Road must comply with Coimbatore City Municipal Corporation guidelines by main"&amp;"taining valid anti-rabies vaccination records and securing local pet permits. Before buying a puppy, check &lt;a href=""https://www.peopleforanimalsindia.org""&gt;local pet rescue organizations&lt;/a&gt; to consider ethical adoption alternatives in the area.&lt;/p&gt;&lt;h3&gt;W"&amp;"here can I find nearby vet care and clinics for toy breeds in RS Puram?&lt;/h3&gt;&lt;p&gt;Veterinary facilities around DB Road and Brookefields Mall offer routine health checks, diagnostic screenings, and vaccination services for delicate toy breeds like Chihuahuas."&amp;" If you witness unethical breeding practices or animal mistreatment near commercial hubs, contact &lt;a href=""https://www.petaindia.com""&gt;animal protection advocates&lt;/a&gt; to file a formal report.&lt;/p&gt;&lt;h3&gt;Are Chihuahua puppies suitable for residential apartmen"&amp;"t living in RS Puram?&lt;/h3&gt;&lt;p&gt;Yes, Chihuahuas thrive in RS Puram apartments due to their tiny size and low space requirements. Light daily walks near Kumaraswamy Park paired with indoor play keep them mentally stimulated and healthy in Coimbatore's warm cl"&amp;"imate.&lt;/p&gt;")</f>
        <v>&lt;h2&gt;Chihuahua Puppies in RS Puram, Coimbatore - FAQs&lt;/h2&gt;&lt;h3&gt;What local pet registration laws apply to Chihuahua owners in RS Puram?&lt;/h3&gt;&lt;p&gt;Pet owners near DB Road and TV Swamy Road must comply with Coimbatore City Municipal Corporation guidelines by maintaining valid anti-rabies vaccination records and securing local pet permits. Before buying a puppy, check &lt;a href="https://www.peopleforanimalsindia.org"&gt;local pet rescue organizations&lt;/a&gt; to consider ethical adoption alternatives in the area.&lt;/p&gt;&lt;h3&gt;Where can I find nearby vet care and clinics for toy breeds in RS Puram?&lt;/h3&gt;&lt;p&gt;Veterinary facilities around DB Road and Brookefields Mall offer routine health checks, diagnostic screenings, and vaccination services for delicate toy breeds like Chihuahuas. If you witness unethical breeding practices or animal mistreatment near commercial hubs, contact &lt;a href="https://www.petaindia.com"&gt;animal protection advocates&lt;/a&gt; to file a formal report.&lt;/p&gt;&lt;h3&gt;Are Chihuahua puppies suitable for residential apartment living in RS Puram?&lt;/h3&gt;&lt;p&gt;Yes, Chihuahuas thrive in RS Puram apartments due to their tiny size and low space requirements. Light daily walks near Kumaraswamy Park paired with indoor play keep them mentally stimulated and healthy in Coimbatore's warm climate.&lt;/p&gt;</v>
      </c>
    </row>
    <row r="27" spans="1:11" x14ac:dyDescent="0.25">
      <c r="A27" s="2" t="s">
        <v>208</v>
      </c>
      <c r="B27" s="2" t="s">
        <v>12</v>
      </c>
      <c r="C27" s="2" t="s">
        <v>209</v>
      </c>
      <c r="D27" s="2" t="s">
        <v>210</v>
      </c>
      <c r="E27" s="2" t="s">
        <v>211</v>
      </c>
      <c r="F27" s="2" t="s">
        <v>212</v>
      </c>
      <c r="G27" s="2" t="s">
        <v>213</v>
      </c>
      <c r="H27" s="2" t="s">
        <v>214</v>
      </c>
      <c r="I27" s="2" t="s">
        <v>215</v>
      </c>
      <c r="J27" s="2" t="str">
        <f ca="1">IFERROR(__xludf.DUMMYFUNCTION("AI(""Act as an expert copywriter and automotive maintenance specialist. Write a unique, 1-paragraph care guide and maintenance cost breakdown for "" &amp; A27 &amp; "" located in "" &amp; B27 &amp; "". Start the output directly with an HTML h2 heading containing the vehi"&amp;"cle/service name and location (e.g., &lt;h2&gt;"" &amp; A27 &amp; "" Care Guide and Maintenance Costs in "" &amp; B27 &amp; ""&lt;/h2&gt;). Follow the heading with exactly one detailed paragraph of expert-level advice covering preventive maintenance routines, common local wear-and-t"&amp;"ear factors specific to "" &amp; B27 &amp; "", and estimated servicing costs. Ensure the content is completely original, avoids generic filler, and contains no repeated phrasing or duplicate templates across rows."")"),"&lt;h2&gt;Chihuahua Puppies Care Guide and Maintenance Costs in Gandhipuram, Coimbatore&lt;/h2&gt;Caring for a Chihuahua puppy in the bustling commercial heart of Gandhipuram, Coimbatore requires a well-balanced health and upkeep regimen designed for urban living. To"&amp;" safeguard your puppy's well-being near busy commercial corridors like Cross Cut Road and 100 Feet Road, prioritize high-protein toy-breed nutrition, daily indoor exercise to avoid traffic hazards, and strict dental hygiene to prevent early periodontal is"&amp;"sues. Navigating Gandhipuram's dense urban environment exposes delicate pups to heat stress, ambient dust, and noise pollution, making constant hydration, indoor climate control, and routine grooming critical. On average, annual maintenance costs in Gandh"&amp;"ipuram range from ₹15,000 to ₹35,000, which covers quality puppy kibble, routine veterinary checkups, core vaccinations, preventive parasite care, and periodic grooming treatments.")</f>
        <v>&lt;h2&gt;Chihuahua Puppies Care Guide and Maintenance Costs in Gandhipuram, Coimbatore&lt;/h2&gt;Caring for a Chihuahua puppy in the bustling commercial heart of Gandhipuram, Coimbatore requires a well-balanced health and upkeep regimen designed for urban living. To safeguard your puppy's well-being near busy commercial corridors like Cross Cut Road and 100 Feet Road, prioritize high-protein toy-breed nutrition, daily indoor exercise to avoid traffic hazards, and strict dental hygiene to prevent early periodontal issues. Navigating Gandhipuram's dense urban environment exposes delicate pups to heat stress, ambient dust, and noise pollution, making constant hydration, indoor climate control, and routine grooming critical. On average, annual maintenance costs in Gandhipuram range from ₹15,000 to ₹35,000, which covers quality puppy kibble, routine veterinary checkups, core vaccinations, preventive parasite care, and periodic grooming treatments.</v>
      </c>
      <c r="K27" s="2" t="str">
        <f ca="1">IFERROR(__xludf.DUMMYFUNCTION("AI(""Write 3 unique FAQs in HTML format for "" &amp; A27 &amp; "" in "" &amp; B27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Gandhipuram, Coimbatore - FAQs&lt;/h2&gt;&lt;h3&gt;What municipal regulations apply when acquiring a Chihuahua puppy in Gandhipuram?&lt;/h3&gt;&lt;p&gt;Pet parents around 100 Feet Road and Cross Cut Road must register their dogs with the Coimbatore City "&amp;"Municipal Corporation, complete microchipping, and keep rabies immunizations up to date. Prior to buying, ensure breeders comply with ethical guidelines or consult &lt;a href=""https://www.peopleforanimalsindia.org""&gt;community rescue programs&lt;/a&gt; for local a"&amp;"doption options.&lt;/p&gt;&lt;h3&gt;Where can I find nearby vet care for toy breeds in Gandhipuram?&lt;/h3&gt;&lt;p&gt;Veterinary clinics operating near Brookefields Mall and the Gandhipuram Bus Stand offer essential puppy immunizations, routine checkups, and diagnostic screenin"&amp;"gs. If you encounter illegal breeding or animal mistreatment near commercial hubs, contact &lt;a href=""https://www.petaindia.com""&gt;humane treatment advocates&lt;/a&gt; to lodge a formal report.&lt;/p&gt;&lt;h3&gt;Are Chihuahua puppies suitable for urban living in central Gan"&amp;"dhipuram?&lt;/h3&gt;&lt;p&gt;Yes, Chihuahuas thrive in apartment settings along busy corridors like Cross Cut Road. Providing daily indoor playtime, adequate hydration, and climate-controlled living protects delicate puppies from central Coimbatore's high traffic and"&amp;" warm ambient temperatures.&lt;/p&gt;")</f>
        <v>&lt;h2&gt;Chihuahua Puppies in Gandhipuram, Coimbatore - FAQs&lt;/h2&gt;&lt;h3&gt;What municipal regulations apply when acquiring a Chihuahua puppy in Gandhipuram?&lt;/h3&gt;&lt;p&gt;Pet parents around 100 Feet Road and Cross Cut Road must register their dogs with the Coimbatore City Municipal Corporation, complete microchipping, and keep rabies immunizations up to date. Prior to buying, ensure breeders comply with ethical guidelines or consult &lt;a href="https://www.peopleforanimalsindia.org"&gt;community rescue programs&lt;/a&gt; for local adoption options.&lt;/p&gt;&lt;h3&gt;Where can I find nearby vet care for toy breeds in Gandhipuram?&lt;/h3&gt;&lt;p&gt;Veterinary clinics operating near Brookefields Mall and the Gandhipuram Bus Stand offer essential puppy immunizations, routine checkups, and diagnostic screenings. If you encounter illegal breeding or animal mistreatment near commercial hubs, contact &lt;a href="https://www.petaindia.com"&gt;humane treatment advocates&lt;/a&gt; to lodge a formal report.&lt;/p&gt;&lt;h3&gt;Are Chihuahua puppies suitable for urban living in central Gandhipuram?&lt;/h3&gt;&lt;p&gt;Yes, Chihuahuas thrive in apartment settings along busy corridors like Cross Cut Road. Providing daily indoor playtime, adequate hydration, and climate-controlled living protects delicate puppies from central Coimbatore's high traffic and warm ambient temperatures.&lt;/p&gt;</v>
      </c>
    </row>
    <row r="28" spans="1:11" x14ac:dyDescent="0.25">
      <c r="A28" s="2" t="s">
        <v>216</v>
      </c>
      <c r="B28" s="2" t="s">
        <v>12</v>
      </c>
      <c r="C28" s="2" t="s">
        <v>217</v>
      </c>
      <c r="D28" s="2" t="s">
        <v>218</v>
      </c>
      <c r="E28" s="2" t="s">
        <v>219</v>
      </c>
      <c r="F28" s="2" t="s">
        <v>220</v>
      </c>
      <c r="G28" s="2" t="s">
        <v>221</v>
      </c>
      <c r="H28" s="2" t="s">
        <v>222</v>
      </c>
      <c r="I28" s="2" t="s">
        <v>223</v>
      </c>
      <c r="J28" s="2" t="str">
        <f ca="1">IFERROR(__xludf.DUMMYFUNCTION("AI(""Act as an expert copywriter and automotive maintenance specialist. Write a unique, 1-paragraph care guide and maintenance cost breakdown for "" &amp; A28 &amp; "" located in "" &amp; B28 &amp; "". Start the output directly with an HTML h2 heading containing the vehi"&amp;"cle/service name and location (e.g., &lt;h2&gt;"" &amp; A28 &amp; "" Care Guide and Maintenance Costs in "" &amp; B28 &amp; ""&lt;/h2&gt;). Follow the heading with exactly one detailed paragraph of expert-level advice covering preventive maintenance routines, common local wear-and-t"&amp;"ear factors specific to "" &amp; B28 &amp; "", and estimated servicing costs. Ensure the content is completely original, avoids generic filler, and contains no repeated phrasing or duplicate templates across rows."")"),"&lt;h2&gt;Chihuahua Puppies Care Guide and Maintenance Costs in Saibaba Colony, Coimbatore&lt;/h2&gt;Caring for a Chihuahua puppy in Saibaba Colony requires a well-structured care and wellness routine tailored to North Coimbatore's residential climate. To ensure robu"&amp;"st development, feed high-quality, nutrient-dense kibble designed for toy breeds, maintain strict daily dental hygiene to prevent early periodontitis, and schedule short morning or evening walks along peaceful avenues like NSR Road or Alagesan Road to kee"&amp;"p them active without overheating. Protecting your tiny pet against local environmental factors requires consistent tick and flea treatments, proper ventilation during warmer months, and routine coat brushing. On average, annual care and maintenance costs"&amp;" in Saibaba Colony range between ₹15,000 and ₹35,000, which covers premium small-breed food, routine veterinary checkups, core vaccinations, deworming, and periodic professional grooming.")</f>
        <v>&lt;h2&gt;Chihuahua Puppies Care Guide and Maintenance Costs in Saibaba Colony, Coimbatore&lt;/h2&gt;Caring for a Chihuahua puppy in Saibaba Colony requires a well-structured care and wellness routine tailored to North Coimbatore's residential climate. To ensure robust development, feed high-quality, nutrient-dense kibble designed for toy breeds, maintain strict daily dental hygiene to prevent early periodontitis, and schedule short morning or evening walks along peaceful avenues like NSR Road or Alagesan Road to keep them active without overheating. Protecting your tiny pet against local environmental factors requires consistent tick and flea treatments, proper ventilation during warmer months, and routine coat brushing. On average, annual care and maintenance costs in Saibaba Colony range between ₹15,000 and ₹35,000, which covers premium small-breed food, routine veterinary checkups, core vaccinations, deworming, and periodic professional grooming.</v>
      </c>
      <c r="K28" s="2" t="str">
        <f ca="1">IFERROR(__xludf.DUMMYFUNCTION("AI(""Write 3 unique FAQs in HTML format for "" &amp; A28 &amp; "" in "" &amp; B28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Saibaba Colony, Coimbatore - FAQs&lt;/h2&gt;&lt;h3&gt;What municipal regulations and licensing rules apply to Chihuahua puppies in Saibaba Colony?&lt;/h3&gt;&lt;p&gt;Pet parents around NSR Road and Alagesan Road must register their dogs with the Coimbato"&amp;"re City Municipal Corporation and keep up-to-date rabies immunizations. Before bringing home a puppy, consider local adoption guidelines or consult &lt;a href=""https://www.peopleforanimalsindia.org""&gt;rescue and shelter organizations&lt;/a&gt; to explore rehoming "&amp;"opportunities.&lt;/p&gt;&lt;h3&gt;Where can I find reliable nearby vet care for toy breeds in Saibaba Colony?&lt;/h3&gt;&lt;p&gt;Veterinary clinics near Mettupalayam Road and Thadagam Road offer specialized care, vaccinations, and routine health checks for small breeds. If you n"&amp;"otice unethical breeding facilities or poor conditions nearby, report them directly to &lt;a href=""https://www.petaindia.com""&gt;animal protection advocates&lt;/a&gt; to ensure proper care standards are enforced.&lt;/p&gt;&lt;h3&gt;Are Chihuahua puppies well-suited for home en"&amp;"vironments in Saibaba Colony?&lt;/h3&gt;&lt;p&gt;Yes, their compact size makes them perfectly suited for apartment residences and residential layouts in North Coimbatore. Regular short walks along quieter neighborhood streets paired with indoor activities provide ade"&amp;"quate daily exercise for these energetic companions.&lt;/p&gt;")</f>
        <v>&lt;h2&gt;Chihuahua Puppies in Saibaba Colony, Coimbatore - FAQs&lt;/h2&gt;&lt;h3&gt;What municipal regulations and licensing rules apply to Chihuahua puppies in Saibaba Colony?&lt;/h3&gt;&lt;p&gt;Pet parents around NSR Road and Alagesan Road must register their dogs with the Coimbatore City Municipal Corporation and keep up-to-date rabies immunizations. Before bringing home a puppy, consider local adoption guidelines or consult &lt;a href="https://www.peopleforanimalsindia.org"&gt;rescue and shelter organizations&lt;/a&gt; to explore rehoming opportunities.&lt;/p&gt;&lt;h3&gt;Where can I find reliable nearby vet care for toy breeds in Saibaba Colony?&lt;/h3&gt;&lt;p&gt;Veterinary clinics near Mettupalayam Road and Thadagam Road offer specialized care, vaccinations, and routine health checks for small breeds. If you notice unethical breeding facilities or poor conditions nearby, report them directly to &lt;a href="https://www.petaindia.com"&gt;animal protection advocates&lt;/a&gt; to ensure proper care standards are enforced.&lt;/p&gt;&lt;h3&gt;Are Chihuahua puppies well-suited for home environments in Saibaba Colony?&lt;/h3&gt;&lt;p&gt;Yes, their compact size makes them perfectly suited for apartment residences and residential layouts in North Coimbatore. Regular short walks along quieter neighborhood streets paired with indoor activities provide adequate daily exercise for these energetic companions.&lt;/p&gt;</v>
      </c>
    </row>
    <row r="29" spans="1:11" x14ac:dyDescent="0.25">
      <c r="A29" s="2" t="s">
        <v>224</v>
      </c>
      <c r="B29" s="2" t="s">
        <v>12</v>
      </c>
      <c r="C29" s="2" t="s">
        <v>225</v>
      </c>
      <c r="D29" s="2" t="s">
        <v>226</v>
      </c>
      <c r="E29" s="2" t="s">
        <v>225</v>
      </c>
      <c r="F29" s="2" t="s">
        <v>227</v>
      </c>
      <c r="G29" s="2" t="s">
        <v>228</v>
      </c>
      <c r="H29" s="2" t="s">
        <v>229</v>
      </c>
      <c r="I29" s="2" t="s">
        <v>230</v>
      </c>
      <c r="J29" s="2" t="str">
        <f ca="1">IFERROR(__xludf.DUMMYFUNCTION("AI(""Act as an expert copywriter and automotive maintenance specialist. Write a unique, 1-paragraph care guide and maintenance cost breakdown for "" &amp; A29 &amp; "" located in "" &amp; B29 &amp; "". Start the output directly with an HTML h2 heading containing the vehi"&amp;"cle/service name and location (e.g., &lt;h2&gt;"" &amp; A29 &amp; "" Care Guide and Maintenance Costs in "" &amp; B29 &amp; ""&lt;/h2&gt;). Follow the heading with exactly one detailed paragraph of expert-level advice covering preventive maintenance routines, common local wear-and-t"&amp;"ear factors specific to "" &amp; B29 &amp; "", and estimated servicing costs. Ensure the content is completely original, avoids generic filler, and contains no repeated phrasing or duplicate templates across rows."")"),"&lt;h2&gt;Chihuahua Puppies Care Guide and Maintenance Costs in Peelamedu, Coimbatore&lt;/h2&gt;Caring for a Chihuahua puppy in Peelamedu’s fast-paced tech and educational corridor requires a well-regulated routine tailored to urban apartment living near Avinashi Roa"&amp;"d and TIDEL Park. To keep your toy companion thriving, provide a nutrient-rich diet specifically formulated for small breeds, establish a consistent indoor dental care regimen to prevent early periodontal issues, and ensure moderate daily exercise during "&amp;"cooler morning or evening hours around quiet residential pockets near PSG College. Coimbatore's warm microclimate and heavy transit exposure mean pet parents must prioritize constant hydration, indoor climate control, proactive tick and flea treatments, a"&amp;"nd protection against pavement heat. On average, annual care and maintenance costs in Peelamedu range from ₹15,000 to ₹35,000, covering high-quality puppy food, routine veterinary health checkups, scheduled vaccinations, deworming protocols, and essential"&amp;" grooming sessions.")</f>
        <v>&lt;h2&gt;Chihuahua Puppies Care Guide and Maintenance Costs in Peelamedu, Coimbatore&lt;/h2&gt;Caring for a Chihuahua puppy in Peelamedu’s fast-paced tech and educational corridor requires a well-regulated routine tailored to urban apartment living near Avinashi Road and TIDEL Park. To keep your toy companion thriving, provide a nutrient-rich diet specifically formulated for small breeds, establish a consistent indoor dental care regimen to prevent early periodontal issues, and ensure moderate daily exercise during cooler morning or evening hours around quiet residential pockets near PSG College. Coimbatore's warm microclimate and heavy transit exposure mean pet parents must prioritize constant hydration, indoor climate control, proactive tick and flea treatments, and protection against pavement heat. On average, annual care and maintenance costs in Peelamedu range from ₹15,000 to ₹35,000, covering high-quality puppy food, routine veterinary health checkups, scheduled vaccinations, deworming protocols, and essential grooming sessions.</v>
      </c>
      <c r="K29" s="2" t="str">
        <f ca="1">IFERROR(__xludf.DUMMYFUNCTION("AI(""Write 3 unique FAQs in HTML format for "" &amp; A29 &amp; "" in "" &amp; B29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Peelamedu, Coimbatore - FAQs&lt;/h2&gt;&lt;h3&gt;What municipal registration rules apply when getting a Chihuahua puppy in Peelamedu?&lt;/h3&gt;&lt;p&gt;Pet owners near Avinashi Road and TIDEL Park must follow Coimbatore City Municipal Corporation regula"&amp;"tions regarding annual pet licensing, mandatory microchipping, and updated rabies immunizations. Before purchasing, verify ethical breeding credentials or check &lt;a href=""https://www.peopleforanimalsindia.org""&gt;rescue group networks&lt;/a&gt; for local adoption"&amp;" options.&lt;/p&gt;&lt;h3&gt;Where can I find reliable nearby vet care for toy breeds around Peelamedu?&lt;/h3&gt;&lt;p&gt;Established veterinary clinics near Fun Republic Mall and PSG College offer specialized care for toy breeds, including patellar evaluations and dental check"&amp;"s. If you suspect unethical breeding practices or animal neglect in the IT belt, report it to &lt;a href=""https://www.petaindia.com""&gt;animal protection organizations&lt;/a&gt; immediately.&lt;/p&gt;&lt;h3&gt;How do I care for a Chihuahua puppy in Peelamedu's warm climate?&lt;/h"&amp;"3&gt;&lt;p&gt;Keep your puppy indoors during peak afternoon temperatures, provide continuous access to fresh water, and exercise them during cooler hours near quiet residential lanes in Peelamedu. Regular hydration and temperature monitoring prevent heat stress in"&amp;" tiny toy breeds.&lt;/p&gt;")</f>
        <v>&lt;h2&gt;Chihuahua Puppies in Peelamedu, Coimbatore - FAQs&lt;/h2&gt;&lt;h3&gt;What municipal registration rules apply when getting a Chihuahua puppy in Peelamedu?&lt;/h3&gt;&lt;p&gt;Pet owners near Avinashi Road and TIDEL Park must follow Coimbatore City Municipal Corporation regulations regarding annual pet licensing, mandatory microchipping, and updated rabies immunizations. Before purchasing, verify ethical breeding credentials or check &lt;a href="https://www.peopleforanimalsindia.org"&gt;rescue group networks&lt;/a&gt; for local adoption options.&lt;/p&gt;&lt;h3&gt;Where can I find reliable nearby vet care for toy breeds around Peelamedu?&lt;/h3&gt;&lt;p&gt;Established veterinary clinics near Fun Republic Mall and PSG College offer specialized care for toy breeds, including patellar evaluations and dental checks. If you suspect unethical breeding practices or animal neglect in the IT belt, report it to &lt;a href="https://www.petaindia.com"&gt;animal protection organizations&lt;/a&gt; immediately.&lt;/p&gt;&lt;h3&gt;How do I care for a Chihuahua puppy in Peelamedu's warm climate?&lt;/h3&gt;&lt;p&gt;Keep your puppy indoors during peak afternoon temperatures, provide continuous access to fresh water, and exercise them during cooler hours near quiet residential lanes in Peelamedu. Regular hydration and temperature monitoring prevent heat stress in tiny toy breeds.&lt;/p&gt;</v>
      </c>
    </row>
    <row r="30" spans="1:11" x14ac:dyDescent="0.25">
      <c r="A30" s="2" t="s">
        <v>231</v>
      </c>
      <c r="B30" s="2" t="s">
        <v>12</v>
      </c>
      <c r="C30" s="2" t="s">
        <v>232</v>
      </c>
      <c r="D30" s="2" t="s">
        <v>233</v>
      </c>
      <c r="E30" s="2" t="s">
        <v>234</v>
      </c>
      <c r="F30" s="2" t="s">
        <v>235</v>
      </c>
      <c r="G30" s="2" t="s">
        <v>236</v>
      </c>
      <c r="H30" s="2" t="s">
        <v>237</v>
      </c>
      <c r="I30" s="2" t="s">
        <v>238</v>
      </c>
      <c r="J30" s="2" t="str">
        <f ca="1">IFERROR(__xludf.DUMMYFUNCTION("AI(""Act as an expert copywriter and automotive maintenance specialist. Write a unique, 1-paragraph care guide and maintenance cost breakdown for "" &amp; A30 &amp; "" located in "" &amp; B30 &amp; "". Start the output directly with an HTML h2 heading containing the vehi"&amp;"cle/service name and location (e.g., &lt;h2&gt;"" &amp; A30 &amp; "" Care Guide and Maintenance Costs in "" &amp; B30 &amp; ""&lt;/h2&gt;). Follow the heading with exactly one detailed paragraph of expert-level advice covering preventive maintenance routines, common local wear-and-t"&amp;"ear factors specific to "" &amp; B30 &amp; "", and estimated servicing costs. Ensure the content is completely original, avoids generic filler, and contains no repeated phrasing or duplicate templates across rows."")"),"&lt;h2&gt;Chihuahua Puppies Care Guide and Maintenance Costs in Singanallur, Coimbatore&lt;/h2&gt;Caring for a Chihuahua puppy in Singanallur requires a dedicated wellness approach adapted to eastern Coimbatore's busy urban climate along the Trichy Road corridor. To "&amp;"keep your toy breed thriving near Kamarajar Road and Singanallur Lake, provide nutrient-rich puppy food designed for mini breeds, maintain regular dental brushing to avoid periodontitis, and schedule short outdoor walks during cooler morning hours to safe"&amp;"guard them against pavement heat. Navigating dense traffic zones and local humidity makes consistent tick and flea control, proper indoor ventilation, and routine coat grooming essential. On average, annual care and maintenance costs in Singanallur range "&amp;"from ₹15,000 to ₹35,000, covering high-quality nutrition, routine veterinary checkups, core vaccinations, deworming, and periodic grooming treatments.")</f>
        <v>&lt;h2&gt;Chihuahua Puppies Care Guide and Maintenance Costs in Singanallur, Coimbatore&lt;/h2&gt;Caring for a Chihuahua puppy in Singanallur requires a dedicated wellness approach adapted to eastern Coimbatore's busy urban climate along the Trichy Road corridor. To keep your toy breed thriving near Kamarajar Road and Singanallur Lake, provide nutrient-rich puppy food designed for mini breeds, maintain regular dental brushing to avoid periodontitis, and schedule short outdoor walks during cooler morning hours to safeguard them against pavement heat. Navigating dense traffic zones and local humidity makes consistent tick and flea control, proper indoor ventilation, and routine coat grooming essential. On average, annual care and maintenance costs in Singanallur range from ₹15,000 to ₹35,000, covering high-quality nutrition, routine veterinary checkups, core vaccinations, deworming, and periodic grooming treatments.</v>
      </c>
      <c r="K30" s="2" t="str">
        <f ca="1">IFERROR(__xludf.DUMMYFUNCTION("AI(""Write 3 unique FAQs in HTML format for "" &amp; A30 &amp; "" in "" &amp; B30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Singanallur, Coimbatore - FAQs&lt;/h2&gt;&lt;h3&gt;What municipal guidelines affect Chihuahua owners in Singanallur?&lt;/h3&gt;&lt;p&gt;Pet owners near Trichy Road and Kamarajar Road must adhere to Coimbatore City Municipal Corporation rules, which manda"&amp;"te microchipping and annual anti-rabies vaccinations. Prospective owners are encouraged to consult &lt;a href=""https://www.peopleforanimalsindia.org""&gt;local pet rescue groups&lt;/a&gt; to consider adoption before purchasing from commercial breeders.&lt;/p&gt;&lt;h3&gt;Where "&amp;"can I find reliable veterinary care for toy breeds around Singanallur?&lt;/h3&gt;&lt;p&gt;Veterinary clinics near Singanallur Lake and the bus terminus offer routine health checkups, deworming, and specialized care for small breeds. If you witness unethical breeding "&amp;"practices or animal mistreatment near commercial hubs, report them directly to &lt;a href=""https://www.petaindia.com""&gt;cruelty prevention organizations&lt;/a&gt;.&lt;/p&gt;&lt;h3&gt;Are Chihuahuas suited for residential living in eastern Coimbatore?&lt;/h3&gt;&lt;p&gt;Yes, Chihuahuas th"&amp;"rive in compact homes due to their small size. Regular indoor activity alongside brief morning walks near quieter residential pockets in Singanallur provides sufficient exercise while protecting them from high pavement temperatures.&lt;/p&gt;")</f>
        <v>&lt;h2&gt;Chihuahua Puppies in Singanallur, Coimbatore - FAQs&lt;/h2&gt;&lt;h3&gt;What municipal guidelines affect Chihuahua owners in Singanallur?&lt;/h3&gt;&lt;p&gt;Pet owners near Trichy Road and Kamarajar Road must adhere to Coimbatore City Municipal Corporation rules, which mandate microchipping and annual anti-rabies vaccinations. Prospective owners are encouraged to consult &lt;a href="https://www.peopleforanimalsindia.org"&gt;local pet rescue groups&lt;/a&gt; to consider adoption before purchasing from commercial breeders.&lt;/p&gt;&lt;h3&gt;Where can I find reliable veterinary care for toy breeds around Singanallur?&lt;/h3&gt;&lt;p&gt;Veterinary clinics near Singanallur Lake and the bus terminus offer routine health checkups, deworming, and specialized care for small breeds. If you witness unethical breeding practices or animal mistreatment near commercial hubs, report them directly to &lt;a href="https://www.petaindia.com"&gt;cruelty prevention organizations&lt;/a&gt;.&lt;/p&gt;&lt;h3&gt;Are Chihuahuas suited for residential living in eastern Coimbatore?&lt;/h3&gt;&lt;p&gt;Yes, Chihuahuas thrive in compact homes due to their small size. Regular indoor activity alongside brief morning walks near quieter residential pockets in Singanallur provides sufficient exercise while protecting them from high pavement temperatures.&lt;/p&gt;</v>
      </c>
    </row>
    <row r="31" spans="1:11" x14ac:dyDescent="0.25">
      <c r="A31" s="2" t="s">
        <v>239</v>
      </c>
      <c r="B31" s="2" t="s">
        <v>12</v>
      </c>
      <c r="C31" s="2" t="s">
        <v>240</v>
      </c>
      <c r="D31" s="2" t="s">
        <v>241</v>
      </c>
      <c r="E31" s="2" t="s">
        <v>242</v>
      </c>
      <c r="F31" s="2" t="s">
        <v>243</v>
      </c>
      <c r="G31" s="2" t="s">
        <v>244</v>
      </c>
      <c r="H31" s="2" t="s">
        <v>245</v>
      </c>
      <c r="I31" s="2" t="s">
        <v>246</v>
      </c>
      <c r="J31" s="2" t="str">
        <f ca="1">IFERROR(__xludf.DUMMYFUNCTION("AI(""Act as an expert copywriter and automotive maintenance specialist. Write a unique, 1-paragraph care guide and maintenance cost breakdown for "" &amp; A31 &amp; "" located in "" &amp; B31 &amp; "". Start the output directly with an HTML h2 heading containing the vehi"&amp;"cle/service name and location (e.g., &lt;h2&gt;"" &amp; A31 &amp; "" Care Guide and Maintenance Costs in "" &amp; B31 &amp; ""&lt;/h2&gt;). Follow the heading with exactly one detailed paragraph of expert-level advice covering preventive maintenance routines, common local wear-and-t"&amp;"ear factors specific to "" &amp; B31 &amp; "", and estimated servicing costs. Ensure the content is completely original, avoids generic filler, and contains no repeated phrasing or duplicate templates across rows."")"),"&lt;h2&gt;Chihuahua Puppies Care Guide and Maintenance Costs in Ramanathapuram, Coimbatore&lt;/h2&gt;Caring for a Chihuahua puppy in Ramanathapuram, Coimbatore requires a tailored wellness routine suited to the warm climate and active urban environment near Trichy Ro"&amp;"ad and Nanjundapuram Road. To keep your toy breed in optimal health, prioritize a nutrient-dense, high-protein diet specially formulated for small dogs, maintain continuous hydration, and keep indoor living spaces well-ventilated to prevent heat exhaustio"&amp;"n. Daily care should focus on gentle indoor play, controlled short walks near quieter spots along Sungam Bypass, and consistent oral hygiene to protect against early dental issues common in toy breeds. Expect annual routine maintenance and care expenses i"&amp;"n Ramanathapuram to range from ₹15,000 to ₹35,000, which covers high-quality puppy food, routine veterinary health checks, mandatory vaccinations, deworming, and periodic professional grooming.")</f>
        <v>&lt;h2&gt;Chihuahua Puppies Care Guide and Maintenance Costs in Ramanathapuram, Coimbatore&lt;/h2&gt;Caring for a Chihuahua puppy in Ramanathapuram, Coimbatore requires a tailored wellness routine suited to the warm climate and active urban environment near Trichy Road and Nanjundapuram Road. To keep your toy breed in optimal health, prioritize a nutrient-dense, high-protein diet specially formulated for small dogs, maintain continuous hydration, and keep indoor living spaces well-ventilated to prevent heat exhaustion. Daily care should focus on gentle indoor play, controlled short walks near quieter spots along Sungam Bypass, and consistent oral hygiene to protect against early dental issues common in toy breeds. Expect annual routine maintenance and care expenses in Ramanathapuram to range from ₹15,000 to ₹35,000, which covers high-quality puppy food, routine veterinary health checks, mandatory vaccinations, deworming, and periodic professional grooming.</v>
      </c>
      <c r="K31" s="2" t="str">
        <f ca="1">IFERROR(__xludf.DUMMYFUNCTION("AI(""Write 3 unique FAQs in HTML format for "" &amp; A31 &amp; "" in "" &amp; B31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Ramanathapuram, Coimbatore - FAQs&lt;/h2&gt;&lt;h3&gt;What municipal regulations apply to owning a Chihuahua puppy in Ramanathapuram?&lt;/h3&gt;&lt;p&gt;Pet owners along Trichy Road and near Nanjundapuram Road must follow Coimbatore City Municipal Corpor"&amp;"ation rules, which mandate microchipping, yearly rabies vaccinations, and local licensing. Before purchasing, consider reviewing &lt;a href=""https://www.peopleforanimalsindia.org""&gt;local pet rescue networks&lt;/a&gt; to check adoption options.&lt;/p&gt;&lt;h3&gt;Where can I "&amp;"locate reliable nearby vet care for a toy breed in Ramanathapuram?&lt;/h3&gt;&lt;p&gt;Veterinary clinics around Sungam Bypass and Race Course offer comprehensive pediatric checks, dental maintenance, and vaccine schedules for small dogs. If you observe unethical bree"&amp;"ding practices or mistreatment near local commercial belts, contact &lt;a href=""https://www.petaindia.com""&gt;animal cruelty intervention organizations&lt;/a&gt; to file a official report.&lt;/p&gt;&lt;h3&gt;Are Chihuahua puppies suitable for residential apartments in Ramanath"&amp;"apuram?&lt;/h3&gt;&lt;p&gt;Yes, Chihuahuas adapt exceptionally well to modern apartment layouts near Puliakulam. Short indoor play sessions combined with brief evening walks along quieter residential lanes near Trichy Road fulfill their physical needs.&lt;/p&gt;")</f>
        <v>&lt;h2&gt;Chihuahua Puppies in Ramanathapuram, Coimbatore - FAQs&lt;/h2&gt;&lt;h3&gt;What municipal regulations apply to owning a Chihuahua puppy in Ramanathapuram?&lt;/h3&gt;&lt;p&gt;Pet owners along Trichy Road and near Nanjundapuram Road must follow Coimbatore City Municipal Corporation rules, which mandate microchipping, yearly rabies vaccinations, and local licensing. Before purchasing, consider reviewing &lt;a href="https://www.peopleforanimalsindia.org"&gt;local pet rescue networks&lt;/a&gt; to check adoption options.&lt;/p&gt;&lt;h3&gt;Where can I locate reliable nearby vet care for a toy breed in Ramanathapuram?&lt;/h3&gt;&lt;p&gt;Veterinary clinics around Sungam Bypass and Race Course offer comprehensive pediatric checks, dental maintenance, and vaccine schedules for small dogs. If you observe unethical breeding practices or mistreatment near local commercial belts, contact &lt;a href="https://www.petaindia.com"&gt;animal cruelty intervention organizations&lt;/a&gt; to file a official report.&lt;/p&gt;&lt;h3&gt;Are Chihuahua puppies suitable for residential apartments in Ramanathapuram?&lt;/h3&gt;&lt;p&gt;Yes, Chihuahuas adapt exceptionally well to modern apartment layouts near Puliakulam. Short indoor play sessions combined with brief evening walks along quieter residential lanes near Trichy Road fulfill their physical needs.&lt;/p&gt;</v>
      </c>
    </row>
    <row r="32" spans="1:11" x14ac:dyDescent="0.25">
      <c r="A32" s="2" t="s">
        <v>247</v>
      </c>
      <c r="B32" s="2" t="s">
        <v>12</v>
      </c>
      <c r="C32" s="2" t="s">
        <v>248</v>
      </c>
      <c r="D32" s="2" t="s">
        <v>249</v>
      </c>
      <c r="E32" s="2" t="s">
        <v>250</v>
      </c>
      <c r="F32" s="2" t="s">
        <v>251</v>
      </c>
      <c r="G32" s="2" t="s">
        <v>252</v>
      </c>
      <c r="H32" s="2" t="s">
        <v>253</v>
      </c>
      <c r="I32" s="2" t="s">
        <v>254</v>
      </c>
      <c r="J32" s="2" t="str">
        <f ca="1">IFERROR(__xludf.DUMMYFUNCTION("AI(""Act as an expert copywriter and automotive maintenance specialist. Write a unique, 1-paragraph care guide and maintenance cost breakdown for "" &amp; A32 &amp; "" located in "" &amp; B32 &amp; "". Start the output directly with an HTML h2 heading containing the vehi"&amp;"cle/service name and location (e.g., &lt;h2&gt;"" &amp; A32 &amp; "" Care Guide and Maintenance Costs in "" &amp; B32 &amp; ""&lt;/h2&gt;). Follow the heading with exactly one detailed paragraph of expert-level advice covering preventive maintenance routines, common local wear-and-t"&amp;"ear factors specific to "" &amp; B32 &amp; "", and estimated servicing costs. Ensure the content is completely original, avoids generic filler, and contains no repeated phrasing or duplicate templates across rows."")"),"&lt;h2&gt;Chihuahua Puppies Care Guide and Maintenance Costs in Saravanampatti, Coimbatore&lt;/h2&gt;Caring for a Chihuahua puppy in Coimbatore's IT hub of Saravanampatti requires a balanced wellness routine suited to warm tropical weather and modern apartment enviro"&amp;"nments near Sathy Road and Keeranatham Road. Maintain optimal health by offering nutrient-dense toy-breed kibble high in protein, providing consistent indoor climate control to prevent heat exhaustion, and ensuring strict daily oral care to avoid early pe"&amp;"riodontal issues. Navigating busy tech corridors and residential complexes exposes small pets to ambient urban dust, heat stress, and seasonal parasites, making regular hydration, routine tick prevention, and gentle grooming essential. On average, annual "&amp;"maintenance costs in Saravanampatti range between ₹15,000 and ₹35,000, covering high-quality puppy nutrition, routine veterinary checkups, core vaccinations, deworming, and periodic grooming treatments.")</f>
        <v>&lt;h2&gt;Chihuahua Puppies Care Guide and Maintenance Costs in Saravanampatti, Coimbatore&lt;/h2&gt;Caring for a Chihuahua puppy in Coimbatore's IT hub of Saravanampatti requires a balanced wellness routine suited to warm tropical weather and modern apartment environments near Sathy Road and Keeranatham Road. Maintain optimal health by offering nutrient-dense toy-breed kibble high in protein, providing consistent indoor climate control to prevent heat exhaustion, and ensuring strict daily oral care to avoid early periodontal issues. Navigating busy tech corridors and residential complexes exposes small pets to ambient urban dust, heat stress, and seasonal parasites, making regular hydration, routine tick prevention, and gentle grooming essential. On average, annual maintenance costs in Saravanampatti range between ₹15,000 and ₹35,000, covering high-quality puppy nutrition, routine veterinary checkups, core vaccinations, deworming, and periodic grooming treatments.</v>
      </c>
      <c r="K32" s="2" t="str">
        <f ca="1">IFERROR(__xludf.DUMMYFUNCTION("AI(""Write 3 unique FAQs in HTML format for "" &amp; A32 &amp; "" in "" &amp; B32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Saravanampatti, Coimbatore - FAQs&lt;/h2&gt;&lt;h3&gt;What local municipal rules and adoption guidelines apply to Chihuahua owners in Saravanampatti?&lt;/h3&gt;&lt;p&gt;Pet parents near Sathy Road and CHIL SEZ must comply with registration and mandatory "&amp;"rabies immunization standards established by the Coimbatore City Municipal Corporation. Prospective owners are encouraged to review local adoption guidelines or reach out to &lt;a href=""https://www.peopleforanimalsindia.org""&gt;pet rescue networks&lt;/a&gt; to supp"&amp;"ort ethical rehoming before purchasing.&lt;/p&gt;&lt;h3&gt;Where can pet parents find specialized nearby vet care in Saravanampatti?&lt;/h3&gt;&lt;p&gt;Veterinary facilities along Keeranatham Road and near Prozone Mall provide health evaluations, vaccinations, and dental checkup"&amp;"s tailored for toy breeds. If you suspect improper handling or cruelty at commercial kennels, contact &lt;a href=""https://www.petaindia.com""&gt;animal rights advocates&lt;/a&gt; to submit a report.&lt;/p&gt;&lt;h3&gt;Are Chihuahua puppies suitable for apartment living near Sar"&amp;"avanampatti IT parks?&lt;/h3&gt;&lt;p&gt;Yes, Chihuahuas thrive in modern high-rise apartments near Keeranatham Road and CHIL SEZ due to their small size. Regular indoor exercise combined with short, shaded morning walks around residential complexes keeps them active"&amp;" and well-balanced.&lt;/p&gt;")</f>
        <v>&lt;h2&gt;Chihuahua Puppies in Saravanampatti, Coimbatore - FAQs&lt;/h2&gt;&lt;h3&gt;What local municipal rules and adoption guidelines apply to Chihuahua owners in Saravanampatti?&lt;/h3&gt;&lt;p&gt;Pet parents near Sathy Road and CHIL SEZ must comply with registration and mandatory rabies immunization standards established by the Coimbatore City Municipal Corporation. Prospective owners are encouraged to review local adoption guidelines or reach out to &lt;a href="https://www.peopleforanimalsindia.org"&gt;pet rescue networks&lt;/a&gt; to support ethical rehoming before purchasing.&lt;/p&gt;&lt;h3&gt;Where can pet parents find specialized nearby vet care in Saravanampatti?&lt;/h3&gt;&lt;p&gt;Veterinary facilities along Keeranatham Road and near Prozone Mall provide health evaluations, vaccinations, and dental checkups tailored for toy breeds. If you suspect improper handling or cruelty at commercial kennels, contact &lt;a href="https://www.petaindia.com"&gt;animal rights advocates&lt;/a&gt; to submit a report.&lt;/p&gt;&lt;h3&gt;Are Chihuahua puppies suitable for apartment living near Saravanampatti IT parks?&lt;/h3&gt;&lt;p&gt;Yes, Chihuahuas thrive in modern high-rise apartments near Keeranatham Road and CHIL SEZ due to their small size. Regular indoor exercise combined with short, shaded morning walks around residential complexes keeps them active and well-balanced.&lt;/p&gt;</v>
      </c>
    </row>
    <row r="33" spans="1:11" x14ac:dyDescent="0.25">
      <c r="A33" s="2" t="s">
        <v>255</v>
      </c>
      <c r="B33" s="2" t="s">
        <v>12</v>
      </c>
      <c r="C33" s="2" t="s">
        <v>256</v>
      </c>
      <c r="D33" s="2" t="s">
        <v>257</v>
      </c>
      <c r="E33" s="2" t="s">
        <v>256</v>
      </c>
      <c r="F33" s="2" t="s">
        <v>258</v>
      </c>
      <c r="G33" s="2" t="s">
        <v>259</v>
      </c>
      <c r="H33" s="2" t="s">
        <v>260</v>
      </c>
      <c r="I33" s="2" t="s">
        <v>261</v>
      </c>
      <c r="J33" s="2" t="str">
        <f ca="1">IFERROR(__xludf.DUMMYFUNCTION("AI(""Act as an expert copywriter and automotive maintenance specialist. Write a unique, 1-paragraph care guide and maintenance cost breakdown for "" &amp; A33 &amp; "" located in "" &amp; B33 &amp; "". Start the output directly with an HTML h2 heading containing the vehi"&amp;"cle/service name and location (e.g., &lt;h2&gt;"" &amp; A33 &amp; "" Care Guide and Maintenance Costs in "" &amp; B33 &amp; ""&lt;/h2&gt;). Follow the heading with exactly one detailed paragraph of expert-level advice covering preventive maintenance routines, common local wear-and-t"&amp;"ear factors specific to "" &amp; B33 &amp; "", and estimated servicing costs. Ensure the content is completely original, avoids generic filler, and contains no repeated phrasing or duplicate templates across rows."")"),"&lt;h2&gt;Chihuahua Puppies Care Guide and Maintenance Costs in Vadavalli, Coimbatore&lt;/h2&gt;Caring for a Chihuahua puppy in the serene foothill environment of Vadavalli requires a dedicated wellness routine tailored to local conditions near Marudhamalai Road and "&amp;"Bharathiar University. To support long-term vitality, feed a balanced, nutrient-rich diet designed for mini breeds, maintain strict daily dental care to avoid periodontal issues, and schedule gentle exercise during the cooler morning hours. The proximity "&amp;"to the Western Ghats brings seasonal microclimate shifts, higher humidity, and ambient dust, making routine tick and flea prevention, regular coat grooming, and adequate indoor climate control essential. On average, annual maintenance costs in Vadavalli r"&amp;"ange between ₹15,000 and ₹35,000, covering high-quality kibble, routine veterinary checkups, core vaccinations, deworming, and periodic grooming treatments.")</f>
        <v>&lt;h2&gt;Chihuahua Puppies Care Guide and Maintenance Costs in Vadavalli, Coimbatore&lt;/h2&gt;Caring for a Chihuahua puppy in the serene foothill environment of Vadavalli requires a dedicated wellness routine tailored to local conditions near Marudhamalai Road and Bharathiar University. To support long-term vitality, feed a balanced, nutrient-rich diet designed for mini breeds, maintain strict daily dental care to avoid periodontal issues, and schedule gentle exercise during the cooler morning hours. The proximity to the Western Ghats brings seasonal microclimate shifts, higher humidity, and ambient dust, making routine tick and flea prevention, regular coat grooming, and adequate indoor climate control essential. On average, annual maintenance costs in Vadavalli range between ₹15,000 and ₹35,000, covering high-quality kibble, routine veterinary checkups, core vaccinations, deworming, and periodic grooming treatments.</v>
      </c>
      <c r="K33" s="2" t="str">
        <f ca="1">IFERROR(__xludf.DUMMYFUNCTION("AI(""Write 3 unique FAQs in HTML format for "" &amp; A33 &amp; "" in "" &amp; B33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Vadavalli, Coimbatore - FAQs&lt;/h2&gt;&lt;h3&gt;What local municipal regulations and licensing apply to Chihuahua owners in Vadavalli?&lt;/h3&gt;&lt;p&gt;Pet owners near Marudhamalai Road and Maharani Avenue must register their dogs with the Coimbatore "&amp;"City Municipal Corporation and keep rabies immunizations current. Before purchasing a puppy, consider reviewing ethical breeding standards or reaching out to &lt;a href=""https://www.peopleforanimalsindia.org""&gt;animal rescue initiatives&lt;/a&gt; to explore pet ad"&amp;"option options.&lt;/p&gt;&lt;h3&gt;Where can I find specialized vet care for toy breeds around Vadavalli?&lt;/h3&gt;&lt;p&gt;Veterinary clinics located near the Vadavalli Bus Stand and Bharathiar University offer complete health checks, vaccinations, and dental care for small br"&amp;"eeds. If you notice unethical breeding or pet neglect in the area, report it to &lt;a href=""https://www.petaindia.com""&gt;animal rights protection groups&lt;/a&gt; for prompt investigation.&lt;/p&gt;&lt;h3&gt;Are Chihuahua puppies suitable for the foothill climate of Vadavalli"&amp;"?&lt;/h3&gt;&lt;p&gt;Yes, Chihuahuas adapt well to Vadavalli's environment near the Western Ghats foothills. However, due to seasonal humidity shifts, ensure your puppy stays hydrated, receives routine tick prevention, and enjoys comfortable indoor play during warm a"&amp;"fternoons.&lt;/p&gt;")</f>
        <v>&lt;h2&gt;Chihuahua Puppies in Vadavalli, Coimbatore - FAQs&lt;/h2&gt;&lt;h3&gt;What local municipal regulations and licensing apply to Chihuahua owners in Vadavalli?&lt;/h3&gt;&lt;p&gt;Pet owners near Marudhamalai Road and Maharani Avenue must register their dogs with the Coimbatore City Municipal Corporation and keep rabies immunizations current. Before purchasing a puppy, consider reviewing ethical breeding standards or reaching out to &lt;a href="https://www.peopleforanimalsindia.org"&gt;animal rescue initiatives&lt;/a&gt; to explore pet adoption options.&lt;/p&gt;&lt;h3&gt;Where can I find specialized vet care for toy breeds around Vadavalli?&lt;/h3&gt;&lt;p&gt;Veterinary clinics located near the Vadavalli Bus Stand and Bharathiar University offer complete health checks, vaccinations, and dental care for small breeds. If you notice unethical breeding or pet neglect in the area, report it to &lt;a href="https://www.petaindia.com"&gt;animal rights protection groups&lt;/a&gt; for prompt investigation.&lt;/p&gt;&lt;h3&gt;Are Chihuahua puppies suitable for the foothill climate of Vadavalli?&lt;/h3&gt;&lt;p&gt;Yes, Chihuahuas adapt well to Vadavalli's environment near the Western Ghats foothills. However, due to seasonal humidity shifts, ensure your puppy stays hydrated, receives routine tick prevention, and enjoys comfortable indoor play during warm afternoons.&lt;/p&gt;</v>
      </c>
    </row>
    <row r="34" spans="1:11" x14ac:dyDescent="0.25">
      <c r="A34" s="2" t="s">
        <v>262</v>
      </c>
      <c r="B34" s="2" t="s">
        <v>12</v>
      </c>
      <c r="C34" s="2" t="s">
        <v>263</v>
      </c>
      <c r="D34" s="2" t="s">
        <v>264</v>
      </c>
      <c r="E34" s="2" t="s">
        <v>263</v>
      </c>
      <c r="F34" s="2" t="s">
        <v>265</v>
      </c>
      <c r="G34" s="2" t="s">
        <v>266</v>
      </c>
      <c r="H34" s="2" t="s">
        <v>267</v>
      </c>
      <c r="I34" s="2" t="s">
        <v>268</v>
      </c>
      <c r="J34" s="2" t="str">
        <f ca="1">IFERROR(__xludf.DUMMYFUNCTION("AI(""Act as an expert copywriter and automotive maintenance specialist. Write a unique, 1-paragraph care guide and maintenance cost breakdown for "" &amp; A34 &amp; "" located in "" &amp; B34 &amp; "". Start the output directly with an HTML h2 heading containing the vehi"&amp;"cle/service name and location (e.g., &lt;h2&gt;"" &amp; A34 &amp; "" Care Guide and Maintenance Costs in "" &amp; B34 &amp; ""&lt;/h2&gt;). Follow the heading with exactly one detailed paragraph of expert-level advice covering preventive maintenance routines, common local wear-and-t"&amp;"ear factors specific to "" &amp; B34 &amp; "", and estimated servicing costs. Ensure the content is completely original, avoids generic filler, and contains no repeated phrasing or duplicate templates across rows."")"),"&lt;h2&gt;Chihuahua Puppies Care Guide and Maintenance Costs in Ukkadam, Coimbatore&lt;/h2&gt;Caring for a Chihuahua puppy in Ukkadam, Coimbatore requires a dedicated health and upkeep routine suited to high-density urban living. To maintain optimal vitality, provide"&amp;" nutrient-dense puppy kibble formulated for toy breeds, implement regular dental care to prevent periodontal issues, and ensure daily indoor exercise supplemented by short walks in quieter residential pockets near Valankulam Lake. Living near busy hubs li"&amp;"ke the Ukkadam Bus Terminus and Big Bazar Street exposes tiny pets to street dust, high humidity, and noise, making consistent climate control, parasite prevention, and routine coat grooming essential. On average, estimated annual maintenance costs in Ukk"&amp;"adam range from ₹15,000 to ₹35,000, covering high-quality nutrition, core vaccinations, deworming, veterinary wellness exams, and routine grooming care.")</f>
        <v>&lt;h2&gt;Chihuahua Puppies Care Guide and Maintenance Costs in Ukkadam, Coimbatore&lt;/h2&gt;Caring for a Chihuahua puppy in Ukkadam, Coimbatore requires a dedicated health and upkeep routine suited to high-density urban living. To maintain optimal vitality, provide nutrient-dense puppy kibble formulated for toy breeds, implement regular dental care to prevent periodontal issues, and ensure daily indoor exercise supplemented by short walks in quieter residential pockets near Valankulam Lake. Living near busy hubs like the Ukkadam Bus Terminus and Big Bazar Street exposes tiny pets to street dust, high humidity, and noise, making consistent climate control, parasite prevention, and routine coat grooming essential. On average, estimated annual maintenance costs in Ukkadam range from ₹15,000 to ₹35,000, covering high-quality nutrition, core vaccinations, deworming, veterinary wellness exams, and routine grooming care.</v>
      </c>
      <c r="K34" s="2" t="str">
        <f ca="1">IFERROR(__xludf.DUMMYFUNCTION("AI(""Write 3 unique FAQs in HTML format for "" &amp; A34 &amp; "" in "" &amp; B34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Ukkadam, Coimbatore - FAQs&lt;/h2&gt;&lt;h3&gt;What municipal regulations apply to buying a Chihuahua puppy in Ukkadam?&lt;/h3&gt;&lt;p&gt;Pet owners near Big Bazar Street and Sungam Bypass Road must adhere to Coimbatore City Municipal Corporation guidel"&amp;"ines by securing valid pet licenses and maintaining updated rabies vaccination records. Before purchasing, consider exploring ethical pet acquisition practices or reaching out to &lt;a href=""https://www.peopleforanimalsindia.org""&gt;rescue and adoption progra"&amp;"ms&lt;/a&gt; for alternative choices.&lt;/p&gt;&lt;h3&gt;Where can I find reliable nearby vet care for toy breeds in Ukkadam?&lt;/h3&gt;&lt;p&gt;Veterinary facilities around Ukkadam Bus Terminus and Town Hall provide routine check-ups, vaccinations, and dental care tailored for toy br"&amp;"eeds. If you encounter mistreatment or unethical breeding facilities, report the violations to &lt;a href=""https://www.petaindia.com""&gt;cruelty prevention organizations&lt;/a&gt; to safeguard animal rights.&lt;/p&gt;&lt;h3&gt;Are Chihuahua puppies suitable for residential liv"&amp;"ing near Valankulam Lake?&lt;/h3&gt;&lt;p&gt;Yes, Chihuahuas thrive in compact urban apartments around Valankulam Lake. They require minimal space, but consistent indoor play combined with short daily walks away from busy traffic corridors keeps them active and healt"&amp;"hy.&lt;/p&gt;")</f>
        <v>&lt;h2&gt;Chihuahua Puppies in Ukkadam, Coimbatore - FAQs&lt;/h2&gt;&lt;h3&gt;What municipal regulations apply to buying a Chihuahua puppy in Ukkadam?&lt;/h3&gt;&lt;p&gt;Pet owners near Big Bazar Street and Sungam Bypass Road must adhere to Coimbatore City Municipal Corporation guidelines by securing valid pet licenses and maintaining updated rabies vaccination records. Before purchasing, consider exploring ethical pet acquisition practices or reaching out to &lt;a href="https://www.peopleforanimalsindia.org"&gt;rescue and adoption programs&lt;/a&gt; for alternative choices.&lt;/p&gt;&lt;h3&gt;Where can I find reliable nearby vet care for toy breeds in Ukkadam?&lt;/h3&gt;&lt;p&gt;Veterinary facilities around Ukkadam Bus Terminus and Town Hall provide routine check-ups, vaccinations, and dental care tailored for toy breeds. If you encounter mistreatment or unethical breeding facilities, report the violations to &lt;a href="https://www.petaindia.com"&gt;cruelty prevention organizations&lt;/a&gt; to safeguard animal rights.&lt;/p&gt;&lt;h3&gt;Are Chihuahua puppies suitable for residential living near Valankulam Lake?&lt;/h3&gt;&lt;p&gt;Yes, Chihuahuas thrive in compact urban apartments around Valankulam Lake. They require minimal space, but consistent indoor play combined with short daily walks away from busy traffic corridors keeps them active and healthy.&lt;/p&gt;</v>
      </c>
    </row>
    <row r="35" spans="1:11" x14ac:dyDescent="0.25">
      <c r="A35" s="2" t="s">
        <v>269</v>
      </c>
      <c r="B35" s="2" t="s">
        <v>12</v>
      </c>
      <c r="C35" s="2" t="s">
        <v>270</v>
      </c>
      <c r="D35" s="2" t="s">
        <v>271</v>
      </c>
      <c r="E35" s="2" t="s">
        <v>272</v>
      </c>
      <c r="F35" s="2" t="s">
        <v>273</v>
      </c>
      <c r="G35" s="2" t="s">
        <v>274</v>
      </c>
      <c r="H35" s="2" t="s">
        <v>275</v>
      </c>
      <c r="I35" s="2" t="s">
        <v>276</v>
      </c>
      <c r="J35" s="2" t="str">
        <f ca="1">IFERROR(__xludf.DUMMYFUNCTION("AI(""Act as an expert copywriter and automotive maintenance specialist. Write a unique, 1-paragraph care guide and maintenance cost breakdown for "" &amp; A35 &amp; "" located in "" &amp; B35 &amp; "". Start the output directly with an HTML h2 heading containing the vehi"&amp;"cle/service name and location (e.g., &lt;h2&gt;"" &amp; A35 &amp; "" Care Guide and Maintenance Costs in "" &amp; B35 &amp; ""&lt;/h2&gt;). Follow the heading with exactly one detailed paragraph of expert-level advice covering preventive maintenance routines, common local wear-and-t"&amp;"ear factors specific to "" &amp; B35 &amp; "", and estimated servicing costs. Ensure the content is completely original, avoids generic filler, and contains no repeated phrasing or duplicate templates across rows."")"),"&lt;h2&gt;Chihuahua Puppies Care Guide and Maintenance Costs in Kovaipudur, Coimbatore&lt;/h2&gt;Caring for a Chihuahua puppy in the serene foothill environment of Kovaipudur, Coimbatore requires a well-structured wellness routine suited to its suburban setting and m"&amp;"ild local climate. To keep your toy breed in optimal health near Mahatma Gandhi Road and the Palakkad Main Road belt, prioritize high-protein nutrition formulated for small breeds, daily indoor play sessions, and strict oral hygiene to mitigate early dent"&amp;"al complications. Navigating the foothill breeze and local outdoor terrain near the Western Ghats requires consistent tick and flea prevention, regular coat grooming, and safeguarding small pups from evening chill or damp weather. On average, annual maint"&amp;"enance costs in Kovaipudur range between ₹15,000 and ₹35,000, covering premium toy-breed kibble, routine veterinary checkups, core vaccinations, deworming schedules, and periodic grooming services.")</f>
        <v>&lt;h2&gt;Chihuahua Puppies Care Guide and Maintenance Costs in Kovaipudur, Coimbatore&lt;/h2&gt;Caring for a Chihuahua puppy in the serene foothill environment of Kovaipudur, Coimbatore requires a well-structured wellness routine suited to its suburban setting and mild local climate. To keep your toy breed in optimal health near Mahatma Gandhi Road and the Palakkad Main Road belt, prioritize high-protein nutrition formulated for small breeds, daily indoor play sessions, and strict oral hygiene to mitigate early dental complications. Navigating the foothill breeze and local outdoor terrain near the Western Ghats requires consistent tick and flea prevention, regular coat grooming, and safeguarding small pups from evening chill or damp weather. On average, annual maintenance costs in Kovaipudur range between ₹15,000 and ₹35,000, covering premium toy-breed kibble, routine veterinary checkups, core vaccinations, deworming schedules, and periodic grooming services.</v>
      </c>
      <c r="K35" s="2" t="str">
        <f ca="1">IFERROR(__xludf.DUMMYFUNCTION("AI(""Write 3 unique FAQs in HTML format for "" &amp; A35 &amp; "" in "" &amp; B35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Kovaipudur, Coimbatore - FAQs&lt;/h2&gt;&lt;h3&gt;What municipal pet ownership rules and licensing apply in Kovaipudur?&lt;/h3&gt;&lt;p&gt;Pet parents residing near Mahatma Gandhi Road and Palakkad Main Road must comply with Coimbatore City Municipal Cor"&amp;"poration guidelines by maintaining valid anti-rabies vaccination records and registering their dogs. Prospective owners are also encouraged to evaluate ethical adoption alternatives through &lt;a href=""https://www.peopleforanimalsindia.org""&gt;local pet rescu"&amp;"e organizations&lt;/a&gt; before bringing a new puppy home.&lt;/p&gt;&lt;h3&gt;Where can I find reliable nearby vet care for a toy breed in Kovaipudur?&lt;/h3&gt;&lt;p&gt;Veterinary clinics around Kovaipudur Junction and the Infant Jesus Shrine precinct offer comprehensive medical car"&amp;"e, routine immunizations, and preventive health screenings tailored for delicate Chihuahua puppies. If you encounter unethical breeding operations or mistreatment in South-West Coimbatore, report the incident to &lt;a href=""https://www.petaindia.com""&gt;cruel"&amp;"ty prevention advocates&lt;/a&gt; for proper regulatory enforcement.&lt;/p&gt;&lt;h3&gt;Are Chihuahua puppies suitable for the foothill climate of Kovaipudur?&lt;/h3&gt;&lt;p&gt;Yes, Chihuahuas adapt exceptionally well to Kovaipudur’s breezy foothill environment. However, due to coole"&amp;"r evening winds coming off the Western Ghats, owners should keep small pups warm and ensure they have a comfortable indoor shelter protected from sudden drafts.&lt;/p&gt;")</f>
        <v>&lt;h2&gt;Chihuahua Puppies in Kovaipudur, Coimbatore - FAQs&lt;/h2&gt;&lt;h3&gt;What municipal pet ownership rules and licensing apply in Kovaipudur?&lt;/h3&gt;&lt;p&gt;Pet parents residing near Mahatma Gandhi Road and Palakkad Main Road must comply with Coimbatore City Municipal Corporation guidelines by maintaining valid anti-rabies vaccination records and registering their dogs. Prospective owners are also encouraged to evaluate ethical adoption alternatives through &lt;a href="https://www.peopleforanimalsindia.org"&gt;local pet rescue organizations&lt;/a&gt; before bringing a new puppy home.&lt;/p&gt;&lt;h3&gt;Where can I find reliable nearby vet care for a toy breed in Kovaipudur?&lt;/h3&gt;&lt;p&gt;Veterinary clinics around Kovaipudur Junction and the Infant Jesus Shrine precinct offer comprehensive medical care, routine immunizations, and preventive health screenings tailored for delicate Chihuahua puppies. If you encounter unethical breeding operations or mistreatment in South-West Coimbatore, report the incident to &lt;a href="https://www.petaindia.com"&gt;cruelty prevention advocates&lt;/a&gt; for proper regulatory enforcement.&lt;/p&gt;&lt;h3&gt;Are Chihuahua puppies suitable for the foothill climate of Kovaipudur?&lt;/h3&gt;&lt;p&gt;Yes, Chihuahuas adapt exceptionally well to Kovaipudur’s breezy foothill environment. However, due to cooler evening winds coming off the Western Ghats, owners should keep small pups warm and ensure they have a comfortable indoor shelter protected from sudden drafts.&lt;/p&gt;</v>
      </c>
    </row>
    <row r="36" spans="1:11" x14ac:dyDescent="0.25">
      <c r="A36" s="2" t="s">
        <v>277</v>
      </c>
      <c r="B36" s="2" t="s">
        <v>12</v>
      </c>
      <c r="C36" s="2" t="s">
        <v>278</v>
      </c>
      <c r="D36" s="2" t="s">
        <v>279</v>
      </c>
      <c r="E36" s="2" t="s">
        <v>280</v>
      </c>
      <c r="F36" s="2" t="s">
        <v>281</v>
      </c>
      <c r="G36" s="2" t="s">
        <v>282</v>
      </c>
      <c r="H36" s="2" t="s">
        <v>283</v>
      </c>
      <c r="I36" s="2" t="s">
        <v>284</v>
      </c>
      <c r="J36" s="2" t="str">
        <f ca="1">IFERROR(__xludf.DUMMYFUNCTION("AI(""Act as an expert copywriter and automotive maintenance specialist. Write a unique, 1-paragraph care guide and maintenance cost breakdown for "" &amp; A36 &amp; "" located in "" &amp; B36 &amp; "". Start the output directly with an HTML h2 heading containing the vehi"&amp;"cle/service name and location (e.g., &lt;h2&gt;"" &amp; A36 &amp; "" Care Guide and Maintenance Costs in "" &amp; B36 &amp; ""&lt;/h2&gt;). Follow the heading with exactly one detailed paragraph of expert-level advice covering preventive maintenance routines, common local wear-and-t"&amp;"ear factors specific to "" &amp; B36 &amp; "", and estimated servicing costs. Ensure the content is completely original, avoids generic filler, and contains no repeated phrasing or duplicate templates across rows."")"),"&lt;h2&gt;Chihuahua Puppies Care Guide and Maintenance Costs in Yercaud, Tamil Nadu&lt;/h2&gt;Caring for a Chihuahua puppy in the cool hill-station climate of Yercaud requires a wellness strategy focused on thermal management, proper nutrition, and routine healthcare"&amp;". Due to the lower temperatures along the Shevaroy Hills and 32-km Loop Road, protecting these delicate toy companions from chill and damp conditions with warm clothing and cozy indoor housing is essential. Prioritize high-calorie, nutrient-dense kibble f"&amp;"ormulated for small breeds to maintain body heat, maintain strict dental hygiene to prevent early periodontitis, and schedule light walks around peaceful areas like Anna Park during warmer mid-day hours. On average, annual maintenance costs in Yercaud ran"&amp;"ge from ₹15,000 to ₹35,000, which covers quality puppy food, routine veterinary checkups, core vaccinations, deworming, and seasonal protective gear.")</f>
        <v>&lt;h2&gt;Chihuahua Puppies Care Guide and Maintenance Costs in Yercaud, Tamil Nadu&lt;/h2&gt;Caring for a Chihuahua puppy in the cool hill-station climate of Yercaud requires a wellness strategy focused on thermal management, proper nutrition, and routine healthcare. Due to the lower temperatures along the Shevaroy Hills and 32-km Loop Road, protecting these delicate toy companions from chill and damp conditions with warm clothing and cozy indoor housing is essential. Prioritize high-calorie, nutrient-dense kibble formulated for small breeds to maintain body heat, maintain strict dental hygiene to prevent early periodontitis, and schedule light walks around peaceful areas like Anna Park during warmer mid-day hours. On average, annual maintenance costs in Yercaud range from ₹15,000 to ₹35,000, which covers quality puppy food, routine veterinary checkups, core vaccinations, deworming, and seasonal protective gear.</v>
      </c>
      <c r="K36" s="2" t="str">
        <f ca="1">IFERROR(__xludf.DUMMYFUNCTION("AI(""Write 3 unique FAQs in HTML format for "" &amp; A36 &amp; "" in "" &amp; B36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for Sale in Yercaud, Tamil Nadu - FAQs&lt;/h2&gt;&lt;h3&gt;What municipal guidelines apply to keeping a Chihuahua puppy in Yercaud?&lt;/h3&gt;&lt;p&gt;Pet parents along the 32-km Loop Road and near Shevaroy Lake must adhere to Yercaud Town Panchayat regulat"&amp;"ions by maintaining valid rabies vaccination records and proper housing standards. Before purchasing, evaluate ethical sourcing standards or consult &lt;a href=""https://www.peopleforanimalsindia.org""&gt;regional animal welfare organizations&lt;/a&gt; to explore loc"&amp;"al adoption programs.&lt;/p&gt;&lt;h3&gt;How do I manage cold-weather care for Chihuahua puppies in the Shevaroy Hills?&lt;/h3&gt;&lt;p&gt;Due to cooler high-altitude climates near Lady's Seat road and Anna Park, toy breeds require thermal clothing, indoor heating, and high-calo"&amp;"rie nutrition to prevent chills and hypoglycemia. If you observe unethical breeding or mistreatment under extreme weather conditions, contact &lt;a href=""https://www.petaindia.com""&gt;cruelty prevention advocates&lt;/a&gt; to report concerns.&lt;/p&gt;&lt;h3&gt;Where can I acc"&amp;"ess veterinary care for toy breeds in Yercaud?&lt;/h3&gt;&lt;p&gt;Primary health evaluations and essential immunizations are available through local veterinary units near Yercaud town center, while comprehensive emergency medical facilities can be accessed down the 2"&amp;"0-hairpin Salem ghat road.&lt;/p&gt;")</f>
        <v>&lt;h2&gt;Chihuahua Puppies for Sale in Yercaud, Tamil Nadu - FAQs&lt;/h2&gt;&lt;h3&gt;What municipal guidelines apply to keeping a Chihuahua puppy in Yercaud?&lt;/h3&gt;&lt;p&gt;Pet parents along the 32-km Loop Road and near Shevaroy Lake must adhere to Yercaud Town Panchayat regulations by maintaining valid rabies vaccination records and proper housing standards. Before purchasing, evaluate ethical sourcing standards or consult &lt;a href="https://www.peopleforanimalsindia.org"&gt;regional animal welfare organizations&lt;/a&gt; to explore local adoption programs.&lt;/p&gt;&lt;h3&gt;How do I manage cold-weather care for Chihuahua puppies in the Shevaroy Hills?&lt;/h3&gt;&lt;p&gt;Due to cooler high-altitude climates near Lady's Seat road and Anna Park, toy breeds require thermal clothing, indoor heating, and high-calorie nutrition to prevent chills and hypoglycemia. If you observe unethical breeding or mistreatment under extreme weather conditions, contact &lt;a href="https://www.petaindia.com"&gt;cruelty prevention advocates&lt;/a&gt; to report concerns.&lt;/p&gt;&lt;h3&gt;Where can I access veterinary care for toy breeds in Yercaud?&lt;/h3&gt;&lt;p&gt;Primary health evaluations and essential immunizations are available through local veterinary units near Yercaud town center, while comprehensive emergency medical facilities can be accessed down the 20-hairpin Salem ghat road.&lt;/p&gt;</v>
      </c>
    </row>
    <row r="37" spans="1:11" x14ac:dyDescent="0.25">
      <c r="A37" s="2" t="s">
        <v>285</v>
      </c>
      <c r="B37" s="2" t="s">
        <v>12</v>
      </c>
      <c r="C37" s="2" t="s">
        <v>286</v>
      </c>
      <c r="D37" s="2" t="s">
        <v>287</v>
      </c>
      <c r="E37" s="2" t="s">
        <v>288</v>
      </c>
      <c r="F37" s="2" t="s">
        <v>289</v>
      </c>
      <c r="G37" s="2" t="s">
        <v>290</v>
      </c>
      <c r="H37" s="2" t="s">
        <v>291</v>
      </c>
      <c r="I37" s="2" t="s">
        <v>292</v>
      </c>
      <c r="J37" s="2" t="str">
        <f ca="1">IFERROR(__xludf.DUMMYFUNCTION("AI(""Act as an expert copywriter and automotive maintenance specialist. Write a unique, 1-paragraph care guide and maintenance cost breakdown for "" &amp; A37 &amp; "" located in "" &amp; B37 &amp; "". Start the output directly with an HTML h2 heading containing the vehi"&amp;"cle/service name and location (e.g., &lt;h2&gt;"" &amp; A37 &amp; "" Care Guide and Maintenance Costs in "" &amp; B37 &amp; ""&lt;/h2&gt;). Follow the heading with exactly one detailed paragraph of expert-level advice covering preventive maintenance routines, common local wear-and-t"&amp;"ear factors specific to "" &amp; B37 &amp; "", and estimated servicing costs. Ensure the content is completely original, avoids generic filler, and contains no repeated phrasing or duplicate templates across rows."")"),"&lt;h2&gt;Chihuahua Puppies Care Guide and Maintenance Costs in Kanyakumari, Tamil Nadu&lt;/h2&gt;Caring for a Chihuahua puppy in the coastal environment of Kanyakumari requires a dedicated health routine tailored to warm weather and high atmospheric humidity. Due to"&amp;" salty ocean breeze and tropical heat near areas like Nagercoil Highway and Sunset View Point, keeping your toy breed properly hydrated, housed in well-ventilated spaces, and protected against skin moisture issues is essential. Provide nutrient-dense kibb"&amp;"le formulated specifically for small breeds to support their fast metabolism, along with regular dental cleaning and gentle daily indoor play. On average, annual maintenance costs in Kanyakumari range from ₹15,000 to ₹35,000, covering high-protein nutriti"&amp;"on, routine veterinary checkups, core vaccinations, tick prevention, and periodic grooming.")</f>
        <v>&lt;h2&gt;Chihuahua Puppies Care Guide and Maintenance Costs in Kanyakumari, Tamil Nadu&lt;/h2&gt;Caring for a Chihuahua puppy in the coastal environment of Kanyakumari requires a dedicated health routine tailored to warm weather and high atmospheric humidity. Due to salty ocean breeze and tropical heat near areas like Nagercoil Highway and Sunset View Point, keeping your toy breed properly hydrated, housed in well-ventilated spaces, and protected against skin moisture issues is essential. Provide nutrient-dense kibble formulated specifically for small breeds to support their fast metabolism, along with regular dental cleaning and gentle daily indoor play. On average, annual maintenance costs in Kanyakumari range from ₹15,000 to ₹35,000, covering high-protein nutrition, routine veterinary checkups, core vaccinations, tick prevention, and periodic grooming.</v>
      </c>
      <c r="K37" s="2" t="str">
        <f ca="1">IFERROR(__xludf.DUMMYFUNCTION("AI(""Write 3 unique FAQs in HTML format for "" &amp; A37 &amp; "" in "" &amp; B37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Kanyakumari, Tamil Nadu - FAQs&lt;/h2&gt;&lt;h3&gt;What municipal regulations and legal requirements apply to owning a Chihuahua puppy in Kanyakumari?&lt;/h3&gt;&lt;p&gt;Pet parents residing near Nagercoil Highway and the NH 66 corridor must comply with "&amp;"coastal municipal body rules by keeping compulsory anti-rabies vaccination certifications updated. To support ethical pet care standards or discover rescue alternatives, connect with &lt;a href=""https://www.peopleforanimalsindia.org""&gt;pet adoption organizat"&amp;"ions&lt;/a&gt; across Tamil Nadu.&lt;/p&gt;&lt;h3&gt;Where can I find reliable veterinary care for toy breed puppies in Kanyakumari?&lt;/h3&gt;&lt;p&gt;Veterinary services around Nagercoil Highway and central Kanyakumari provide routine immunization schedules, patellar screenings, and"&amp;" treatments for humidity-related skin sensitivities. If you witness unethical breeding practices or animal abuse near high-density tourist areas, contact &lt;a href=""https://www.petaindia.com""&gt;animal protection representatives&lt;/a&gt; immediately.&lt;/p&gt;&lt;h3&gt;How d"&amp;"o I protect a Chihuahua puppy from Kanyakumari's coastal climate?&lt;/h3&gt;&lt;p&gt;Due to high humidity and salty ocean breezes near Vivekananda Rock Memorial and Sunset View Point, ensure your puppy stays well-hydrated and housed in well-ventilated indoor environm"&amp;"ents to avoid heat exhaustion and skin irritation.&lt;/p&gt;")</f>
        <v>&lt;h2&gt;Chihuahua Puppies in Kanyakumari, Tamil Nadu - FAQs&lt;/h2&gt;&lt;h3&gt;What municipal regulations and legal requirements apply to owning a Chihuahua puppy in Kanyakumari?&lt;/h3&gt;&lt;p&gt;Pet parents residing near Nagercoil Highway and the NH 66 corridor must comply with coastal municipal body rules by keeping compulsory anti-rabies vaccination certifications updated. To support ethical pet care standards or discover rescue alternatives, connect with &lt;a href="https://www.peopleforanimalsindia.org"&gt;pet adoption organizations&lt;/a&gt; across Tamil Nadu.&lt;/p&gt;&lt;h3&gt;Where can I find reliable veterinary care for toy breed puppies in Kanyakumari?&lt;/h3&gt;&lt;p&gt;Veterinary services around Nagercoil Highway and central Kanyakumari provide routine immunization schedules, patellar screenings, and treatments for humidity-related skin sensitivities. If you witness unethical breeding practices or animal abuse near high-density tourist areas, contact &lt;a href="https://www.petaindia.com"&gt;animal protection representatives&lt;/a&gt; immediately.&lt;/p&gt;&lt;h3&gt;How do I protect a Chihuahua puppy from Kanyakumari's coastal climate?&lt;/h3&gt;&lt;p&gt;Due to high humidity and salty ocean breezes near Vivekananda Rock Memorial and Sunset View Point, ensure your puppy stays well-hydrated and housed in well-ventilated indoor environments to avoid heat exhaustion and skin irritation.&lt;/p&gt;</v>
      </c>
    </row>
    <row r="38" spans="1:11" x14ac:dyDescent="0.25">
      <c r="A38" s="2" t="s">
        <v>293</v>
      </c>
      <c r="B38" s="2" t="s">
        <v>12</v>
      </c>
      <c r="C38" s="2" t="s">
        <v>294</v>
      </c>
      <c r="D38" s="2" t="s">
        <v>295</v>
      </c>
      <c r="E38" s="2" t="s">
        <v>294</v>
      </c>
      <c r="F38" s="2" t="s">
        <v>296</v>
      </c>
      <c r="G38" s="2" t="s">
        <v>297</v>
      </c>
      <c r="H38" s="2" t="s">
        <v>298</v>
      </c>
      <c r="I38" s="2" t="s">
        <v>299</v>
      </c>
      <c r="J38" s="2" t="str">
        <f ca="1">IFERROR(__xludf.DUMMYFUNCTION("AI(""Act as an expert copywriter and automotive maintenance specialist. Write a unique, 1-paragraph care guide and maintenance cost breakdown for "" &amp; A38 &amp; "" located in "" &amp; B38 &amp; "". Start the output directly with an HTML h2 heading containing the vehi"&amp;"cle/service name and location (e.g., &lt;h2&gt;"" &amp; A38 &amp; "" Care Guide and Maintenance Costs in "" &amp; B38 &amp; ""&lt;/h2&gt;). Follow the heading with exactly one detailed paragraph of expert-level advice covering preventive maintenance routines, common local wear-and-t"&amp;"ear factors specific to "" &amp; B38 &amp; "", and estimated servicing costs. Ensure the content is completely original, avoids generic filler, and contains no repeated phrasing or duplicate templates across rows."")"),"&lt;h2&gt;Chihuahua Puppies Care Guide and Maintenance Costs in Pondicherry&lt;/h2&gt;Caring for a Chihuahua puppy in coastal Pondicherry requires a dedicated wellness routine adapted to warm, humid seaside conditions. To maintain long-term vitality, provide nutrient"&amp;"-dense puppy food formulated for toy breeds, ensure continuous hydration, and schedule short walks along quieter stretches of White Town, Lawspet, or Heritage Town during cooler early morning or evening hours. High humidity and salty coastal breeze near P"&amp;"romenade Beach make regular coat maintenance, skin checks for moisture-induced irritation, and proactive tick prevention essential. Indoors, ensure adequate climate control to protect your small companion from tropical heat stress. On average, annual main"&amp;"tenance costs in Pondicherry range from ₹15,000 to ₹35,000, which includes high-quality kibble, routine veterinary wellness checks, essential vaccinations, deworming, and periodic professional grooming.")</f>
        <v>&lt;h2&gt;Chihuahua Puppies Care Guide and Maintenance Costs in Pondicherry&lt;/h2&gt;Caring for a Chihuahua puppy in coastal Pondicherry requires a dedicated wellness routine adapted to warm, humid seaside conditions. To maintain long-term vitality, provide nutrient-dense puppy food formulated for toy breeds, ensure continuous hydration, and schedule short walks along quieter stretches of White Town, Lawspet, or Heritage Town during cooler early morning or evening hours. High humidity and salty coastal breeze near Promenade Beach make regular coat maintenance, skin checks for moisture-induced irritation, and proactive tick prevention essential. Indoors, ensure adequate climate control to protect your small companion from tropical heat stress. On average, annual maintenance costs in Pondicherry range from ₹15,000 to ₹35,000, which includes high-quality kibble, routine veterinary wellness checks, essential vaccinations, deworming, and periodic professional grooming.</v>
      </c>
      <c r="K38" s="2" t="str">
        <f ca="1">IFERROR(__xludf.DUMMYFUNCTION("AI(""Write 3 unique FAQs in HTML format for "" &amp; A38 &amp; "" in "" &amp; B38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Pondicherry - FAQs&lt;/h2&gt;&lt;h3&gt;What municipal regulations and animal welfare laws govern dog owners in Pondicherry?&lt;/h3&gt;&lt;p&gt;Pet owners across White Town and Lawspet must comply with Puducherry Municipality rules, ensuring mandatory rab"&amp;"ies vaccinations and proper pet identification. Prior to buying a puppy, prospective parents are encouraged to check &lt;a href=""https://www.peopleforanimalsindia.org""&gt;local pet rescue initiatives&lt;/a&gt; for rescue and adoption opportunities.&lt;/p&gt;&lt;h3&gt;Where can"&amp;" I find nearby vet care for toy breeds in Pondicherry?&lt;/h3&gt;&lt;p&gt;Veterinary facilities located near Heritage Town and along Goubert Avenue provide specialized care for small breeds, including vaccinations, routine health checks, and dietary management. If yo"&amp;"u notice backyard breeding abuses or pet neglect along the ECR corridor, contact &lt;a href=""https://www.petaindia.com""&gt;animal rights advocates&lt;/a&gt; to file an official report.&lt;/p&gt;&lt;h3&gt;How well do Chihuahua puppies adapt to humid coastal environments like Po"&amp;"ndicherry?&lt;/h3&gt;&lt;p&gt;Chihuahuas handle apartment living near Promenade Beach exceptionally well due to their compact size, but they require protection from heat and humidity. Maintain a cool indoor environment during warm afternoons and arrange brief walks a"&amp;"long White Town's shaded streets during early mornings or late evenings.&lt;/p&gt;")</f>
        <v>&lt;h2&gt;Chihuahua Puppies in Pondicherry - FAQs&lt;/h2&gt;&lt;h3&gt;What municipal regulations and animal welfare laws govern dog owners in Pondicherry?&lt;/h3&gt;&lt;p&gt;Pet owners across White Town and Lawspet must comply with Puducherry Municipality rules, ensuring mandatory rabies vaccinations and proper pet identification. Prior to buying a puppy, prospective parents are encouraged to check &lt;a href="https://www.peopleforanimalsindia.org"&gt;local pet rescue initiatives&lt;/a&gt; for rescue and adoption opportunities.&lt;/p&gt;&lt;h3&gt;Where can I find nearby vet care for toy breeds in Pondicherry?&lt;/h3&gt;&lt;p&gt;Veterinary facilities located near Heritage Town and along Goubert Avenue provide specialized care for small breeds, including vaccinations, routine health checks, and dietary management. If you notice backyard breeding abuses or pet neglect along the ECR corridor, contact &lt;a href="https://www.petaindia.com"&gt;animal rights advocates&lt;/a&gt; to file an official report.&lt;/p&gt;&lt;h3&gt;How well do Chihuahua puppies adapt to humid coastal environments like Pondicherry?&lt;/h3&gt;&lt;p&gt;Chihuahuas handle apartment living near Promenade Beach exceptionally well due to their compact size, but they require protection from heat and humidity. Maintain a cool indoor environment during warm afternoons and arrange brief walks along White Town's shaded streets during early mornings or late evenings.&lt;/p&gt;</v>
      </c>
    </row>
    <row r="39" spans="1:11" x14ac:dyDescent="0.25">
      <c r="A39" s="2" t="s">
        <v>300</v>
      </c>
      <c r="B39" s="2" t="s">
        <v>12</v>
      </c>
      <c r="C39" s="2" t="s">
        <v>301</v>
      </c>
      <c r="D39" s="2" t="s">
        <v>302</v>
      </c>
      <c r="E39" s="2" t="s">
        <v>303</v>
      </c>
      <c r="F39" s="2" t="s">
        <v>304</v>
      </c>
      <c r="G39" s="2" t="s">
        <v>305</v>
      </c>
      <c r="H39" s="2" t="s">
        <v>306</v>
      </c>
      <c r="I39" s="2" t="s">
        <v>307</v>
      </c>
      <c r="J39" s="2" t="str">
        <f ca="1">IFERROR(__xludf.DUMMYFUNCTION("AI(""Act as an expert copywriter and automotive maintenance specialist. Write a unique, 1-paragraph care guide and maintenance cost breakdown for "" &amp; A39 &amp; "" located in "" &amp; B39 &amp; "". Start the output directly with an HTML h2 heading containing the vehi"&amp;"cle/service name and location (e.g., &lt;h2&gt;"" &amp; A39 &amp; "" Care Guide and Maintenance Costs in "" &amp; B39 &amp; ""&lt;/h2&gt;). Follow the heading with exactly one detailed paragraph of expert-level advice covering preventive maintenance routines, common local wear-and-t"&amp;"ear factors specific to "" &amp; B39 &amp; "", and estimated servicing costs. Ensure the content is completely original, avoids generic filler, and contains no repeated phrasing or duplicate templates across rows."")"),"&lt;h2&gt;Chihuahua Puppies Care Guide and Maintenance Costs in Kochi, Kerala&lt;/h2&gt;Caring for a Chihuahua puppy in Kochi's coastal climate requires a dedicated wellness routine tailored to high humidity and humid tropical conditions near areas like Panampilly Na"&amp;"gar, Kakkanad, and Marine Drive. To support long-term health, provide high-protein nutrition formulated for toy breeds, prioritize daily indoor mental stimulation alongside brief walks, and maintain strict oral hygiene to avoid early periodontal issues. K"&amp;"ochi's coastal moisture and heavy monsoon showers expose small dogs to fungal skin irritation, dampness, and heat stress, making consistent indoor climate control, thorough coat drying, and regular parasite prevention essential. On average, annual mainten"&amp;"ance costs in Kochi range between ₹15,000 and ₹35,000, which covers high-quality puppy food, routine veterinary consultations, core vaccinations, deworming, and basic grooming supplies.")</f>
        <v>&lt;h2&gt;Chihuahua Puppies Care Guide and Maintenance Costs in Kochi, Kerala&lt;/h2&gt;Caring for a Chihuahua puppy in Kochi's coastal climate requires a dedicated wellness routine tailored to high humidity and humid tropical conditions near areas like Panampilly Nagar, Kakkanad, and Marine Drive. To support long-term health, provide high-protein nutrition formulated for toy breeds, prioritize daily indoor mental stimulation alongside brief walks, and maintain strict oral hygiene to avoid early periodontal issues. Kochi's coastal moisture and heavy monsoon showers expose small dogs to fungal skin irritation, dampness, and heat stress, making consistent indoor climate control, thorough coat drying, and regular parasite prevention essential. On average, annual maintenance costs in Kochi range between ₹15,000 and ₹35,000, which covers high-quality puppy food, routine veterinary consultations, core vaccinations, deworming, and basic grooming supplies.</v>
      </c>
      <c r="K39" s="2" t="str">
        <f ca="1">IFERROR(__xludf.DUMMYFUNCTION("AI(""Write 3 unique FAQs in HTML format for "" &amp; A39 &amp; "" in "" &amp; B39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Kochi, Kerala - FAQs&lt;/h2&gt;&lt;h3&gt;What municipal rules apply when bringing home a Chihuahua puppy in Kochi?&lt;/h3&gt;&lt;p&gt;Pet parents in areas like Panampilly Nagar and Kakkanad must register their dogs with the Kochi Municipal Corporation, m"&amp;"aintain active anti-rabies vaccination records, and adhere to state pet ownership norms. To support ethical pet ownership, consult &lt;a href=""https://www.peopleforanimalsindia.org""&gt;rescue and shelter organisations&lt;/a&gt; to explore rescue options before purc"&amp;"hasing.&lt;/p&gt;&lt;h3&gt;How do I find local veterinary care and manage high humidity for Chihuahuas in Kochi?&lt;/h3&gt;&lt;p&gt;Veterinary facilities around Edappally, MG Road, and Marine Drive provide specialized health checks, vaccinations, and skin care treatments necessa"&amp;"ry for high-humidity coastal climates. If you witness illegal breeding setups or neglected animals, notify &lt;a href=""https://www.petaindia.com""&gt;animal rights advocates&lt;/a&gt; to file an official report.&lt;/p&gt;&lt;h3&gt;Are Chihuahua puppies well-suited for high-rise"&amp;" apartment living in Kochi?&lt;/h3&gt;&lt;p&gt;Yes, toy breeds like Chihuahuas thrive in apartment settings common across Vyttila and Marine Drive. Indoor playtime supplemented by brief early morning or evening walks helps avoid heat stress while fulfilling their dai"&amp;"ly activity needs.&lt;/p&gt;")</f>
        <v>&lt;h2&gt;Chihuahua Puppies in Kochi, Kerala - FAQs&lt;/h2&gt;&lt;h3&gt;What municipal rules apply when bringing home a Chihuahua puppy in Kochi?&lt;/h3&gt;&lt;p&gt;Pet parents in areas like Panampilly Nagar and Kakkanad must register their dogs with the Kochi Municipal Corporation, maintain active anti-rabies vaccination records, and adhere to state pet ownership norms. To support ethical pet ownership, consult &lt;a href="https://www.peopleforanimalsindia.org"&gt;rescue and shelter organisations&lt;/a&gt; to explore rescue options before purchasing.&lt;/p&gt;&lt;h3&gt;How do I find local veterinary care and manage high humidity for Chihuahuas in Kochi?&lt;/h3&gt;&lt;p&gt;Veterinary facilities around Edappally, MG Road, and Marine Drive provide specialized health checks, vaccinations, and skin care treatments necessary for high-humidity coastal climates. If you witness illegal breeding setups or neglected animals, notify &lt;a href="https://www.petaindia.com"&gt;animal rights advocates&lt;/a&gt; to file an official report.&lt;/p&gt;&lt;h3&gt;Are Chihuahua puppies well-suited for high-rise apartment living in Kochi?&lt;/h3&gt;&lt;p&gt;Yes, toy breeds like Chihuahuas thrive in apartment settings common across Vyttila and Marine Drive. Indoor playtime supplemented by brief early morning or evening walks helps avoid heat stress while fulfilling their daily activity needs.&lt;/p&gt;</v>
      </c>
    </row>
    <row r="40" spans="1:11" x14ac:dyDescent="0.25">
      <c r="A40" s="2" t="s">
        <v>308</v>
      </c>
      <c r="B40" s="2" t="s">
        <v>12</v>
      </c>
      <c r="C40" s="2" t="s">
        <v>309</v>
      </c>
      <c r="D40" s="2" t="s">
        <v>310</v>
      </c>
      <c r="E40" s="2" t="s">
        <v>311</v>
      </c>
      <c r="F40" s="2" t="s">
        <v>312</v>
      </c>
      <c r="G40" s="2" t="s">
        <v>313</v>
      </c>
      <c r="H40" s="2" t="s">
        <v>314</v>
      </c>
      <c r="I40" s="2" t="s">
        <v>315</v>
      </c>
      <c r="J40" s="2" t="str">
        <f ca="1">IFERROR(__xludf.DUMMYFUNCTION("AI(""Act as an expert copywriter and automotive maintenance specialist. Write a unique, 1-paragraph care guide and maintenance cost breakdown for "" &amp; A40 &amp; "" located in "" &amp; B40 &amp; "". Start the output directly with an HTML h2 heading containing the vehi"&amp;"cle/service name and location (e.g., &lt;h2&gt;"" &amp; A40 &amp; "" Care Guide and Maintenance Costs in "" &amp; B40 &amp; ""&lt;/h2&gt;). Follow the heading with exactly one detailed paragraph of expert-level advice covering preventive maintenance routines, common local wear-and-t"&amp;"ear factors specific to "" &amp; B40 &amp; "", and estimated servicing costs. Ensure the content is completely original, avoids generic filler, and contains no repeated phrasing or duplicate templates across rows."")"),"&lt;h2&gt;Chihuahua Puppies Care Guide and Maintenance Costs in Trivandrum, Kerala&lt;/h2&gt;Caring for a Chihuahua puppy in Trivandrum requires a well-balanced wellness routine tailored to South Kerala's warm, humid coastal climate. To keep your toy breed thriving a"&amp;"round residential hubs like Kowdiar, Pattom, and PMG Junction, prioritize nutrient-dense food formulated for small breeds, maintain constant hydration to prevent heat exhaustion, and schedule gentle exercise during cooler morning or evening hours near Mus"&amp;"eum Road. High coastal humidity in Thiruvananthapuram increases susceptibility to skin allergies, tick infestations, and dental issues, making regular grooming, oral hygiene, and proactive parasite control essential. On average, annual maintenance costs i"&amp;"n Trivandrum range between ₹15,000 and ₹35,000, covering high-protein puppy kibble, routine veterinary checkups, core vaccinations, deworming, and periodic professional grooming.")</f>
        <v>&lt;h2&gt;Chihuahua Puppies Care Guide and Maintenance Costs in Trivandrum, Kerala&lt;/h2&gt;Caring for a Chihuahua puppy in Trivandrum requires a well-balanced wellness routine tailored to South Kerala's warm, humid coastal climate. To keep your toy breed thriving around residential hubs like Kowdiar, Pattom, and PMG Junction, prioritize nutrient-dense food formulated for small breeds, maintain constant hydration to prevent heat exhaustion, and schedule gentle exercise during cooler morning or evening hours near Museum Road. High coastal humidity in Thiruvananthapuram increases susceptibility to skin allergies, tick infestations, and dental issues, making regular grooming, oral hygiene, and proactive parasite control essential. On average, annual maintenance costs in Trivandrum range between ₹15,000 and ₹35,000, covering high-protein puppy kibble, routine veterinary checkups, core vaccinations, deworming, and periodic professional grooming.</v>
      </c>
      <c r="K40" s="2" t="str">
        <f ca="1">IFERROR(__xludf.DUMMYFUNCTION("AI(""Write 3 unique FAQs in HTML format for "" &amp; A40 &amp; "" in "" &amp; B40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Trivandrum, Kerala - FAQs&lt;/h2&gt;&lt;h3&gt;What municipal rules and registration requirements apply to Chihuahua owners in Trivandrum?&lt;/h3&gt;&lt;p&gt;Pet owners across Kowdiar, Pattom, and PMG Junction must comply with Thiruvananthapuram Municipal"&amp;" Corporation guidelines by maintaining valid anti-rabies vaccination records and proper licensing. Prospective pet parents are also encouraged to consult &lt;a href=""https://www.peopleforanimalsindia.org""&gt;rescue and adoption shelters&lt;/a&gt; to consider adopti"&amp;"on options.&lt;/p&gt;&lt;h3&gt;Where can I access veterinary services for toy breeds near central Trivandrum?&lt;/h3&gt;&lt;p&gt;Veterinary centers located near Kowdiar Avenue, Pattom, and the Secretariat corridor provide comprehensive health checkups, core vaccinations, and hea"&amp;"t-management advice for toy breeds. If you witness illegal breeding or animal abuse, report the violation through &lt;a href=""https://www.petaindia.com""&gt;animal rights monitoring groups&lt;/a&gt;.&lt;/p&gt;&lt;h3&gt;Are Chihuahua puppies well-suited for apartment living in T"&amp;"rivandrum?&lt;/h3&gt;&lt;p&gt;Yes, Chihuahuas thrive in compact urban apartments in Thiruvananthapuram. Providing indoor play alongside short walks near Museum Road during cooler morning or evening hours ensures proper exercise while avoiding coastal heat exhaustion."&amp;"&lt;/p&gt;")</f>
        <v>&lt;h2&gt;Chihuahua Puppies in Trivandrum, Kerala - FAQs&lt;/h2&gt;&lt;h3&gt;What municipal rules and registration requirements apply to Chihuahua owners in Trivandrum?&lt;/h3&gt;&lt;p&gt;Pet owners across Kowdiar, Pattom, and PMG Junction must comply with Thiruvananthapuram Municipal Corporation guidelines by maintaining valid anti-rabies vaccination records and proper licensing. Prospective pet parents are also encouraged to consult &lt;a href="https://www.peopleforanimalsindia.org"&gt;rescue and adoption shelters&lt;/a&gt; to consider adoption options.&lt;/p&gt;&lt;h3&gt;Where can I access veterinary services for toy breeds near central Trivandrum?&lt;/h3&gt;&lt;p&gt;Veterinary centers located near Kowdiar Avenue, Pattom, and the Secretariat corridor provide comprehensive health checkups, core vaccinations, and heat-management advice for toy breeds. If you witness illegal breeding or animal abuse, report the violation through &lt;a href="https://www.petaindia.com"&gt;animal rights monitoring groups&lt;/a&gt;.&lt;/p&gt;&lt;h3&gt;Are Chihuahua puppies well-suited for apartment living in Trivandrum?&lt;/h3&gt;&lt;p&gt;Yes, Chihuahuas thrive in compact urban apartments in Thiruvananthapuram. Providing indoor play alongside short walks near Museum Road during cooler morning or evening hours ensures proper exercise while avoiding coastal heat exhaustion.&lt;/p&gt;</v>
      </c>
    </row>
    <row r="41" spans="1:11" x14ac:dyDescent="0.25">
      <c r="A41" s="2" t="s">
        <v>316</v>
      </c>
      <c r="B41" s="2" t="s">
        <v>12</v>
      </c>
      <c r="C41" s="2" t="s">
        <v>317</v>
      </c>
      <c r="D41" s="2" t="s">
        <v>318</v>
      </c>
      <c r="E41" s="2" t="s">
        <v>319</v>
      </c>
      <c r="F41" s="2" t="s">
        <v>320</v>
      </c>
      <c r="G41" s="2" t="s">
        <v>321</v>
      </c>
      <c r="H41" s="2" t="s">
        <v>322</v>
      </c>
      <c r="I41" s="2" t="s">
        <v>323</v>
      </c>
      <c r="J41" s="2" t="str">
        <f ca="1">IFERROR(__xludf.DUMMYFUNCTION("AI(""Act as an expert copywriter and automotive maintenance specialist. Write a unique, 1-paragraph care guide and maintenance cost breakdown for "" &amp; A41 &amp; "" located in "" &amp; B41 &amp; "". Start the output directly with an HTML h2 heading containing the vehi"&amp;"cle/service name and location (e.g., &lt;h2&gt;"" &amp; A41 &amp; "" Care Guide and Maintenance Costs in "" &amp; B41 &amp; ""&lt;/h2&gt;). Follow the heading with exactly one detailed paragraph of expert-level advice covering preventive maintenance routines, common local wear-and-t"&amp;"ear factors specific to "" &amp; B41 &amp; "", and estimated servicing costs. Ensure the content is completely original, avoids generic filler, and contains no repeated phrasing or duplicate templates across rows."")"),"&lt;h2&gt;Chihuahua Puppies Care Guide and Maintenance Costs in Vellore, Tamil Nadu&lt;/h2&gt;Caring for a Chihuahua puppy in Vellore requires a dedicated health and maintenance routine tailored to handle the region's warm inland climate across neighborhoods like Gan"&amp;"dhi Nagar, Sathuvachari, and Katpadi. To keep your toy breed thriving, prioritize a nutrient-rich diet designed for mini breeds, ensure continuous hydration to prevent heat stress, and maintain strict daily oral hygiene to safeguard against early dental i"&amp;"ssues. Navigating urban residential zones and transit corridors near Katpadi Junction exposes delicate pups to high afternoon temperatures, making climate-controlled indoor spaces and early morning walks essential. On average, annual care and maintenance "&amp;"costs in Vellore range from ₹15,000 to ₹35,000, which covers premium small-breed kibble, routine veterinary checkups, core vaccinations, deworming, and periodic professional grooming.")</f>
        <v>&lt;h2&gt;Chihuahua Puppies Care Guide and Maintenance Costs in Vellore, Tamil Nadu&lt;/h2&gt;Caring for a Chihuahua puppy in Vellore requires a dedicated health and maintenance routine tailored to handle the region's warm inland climate across neighborhoods like Gandhi Nagar, Sathuvachari, and Katpadi. To keep your toy breed thriving, prioritize a nutrient-rich diet designed for mini breeds, ensure continuous hydration to prevent heat stress, and maintain strict daily oral hygiene to safeguard against early dental issues. Navigating urban residential zones and transit corridors near Katpadi Junction exposes delicate pups to high afternoon temperatures, making climate-controlled indoor spaces and early morning walks essential. On average, annual care and maintenance costs in Vellore range from ₹15,000 to ₹35,000, which covers premium small-breed kibble, routine veterinary checkups, core vaccinations, deworming, and periodic professional grooming.</v>
      </c>
      <c r="K41" s="2" t="str">
        <f ca="1">IFERROR(__xludf.DUMMYFUNCTION("AI(""Write 3 unique FAQs in HTML format for "" &amp; A41 &amp; "" in "" &amp; B41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Vellore, Tamil Nadu - FAQs&lt;/h2&gt;&lt;h3&gt;What municipal regulations and local adoption guidelines apply when getting a Chihuahua puppy in Vellore?&lt;/h3&gt;&lt;p&gt;Pet owners around Gandhi Nagar, Sathuvachari, and Katpadi must register their dogs"&amp;" with the Vellore City Municipal Corporation and keep anti-rabies immunizations current. If you prefer adoptions over commercial buying, consult &lt;a href=""https://www.peopleforanimalsindia.org""&gt;paws and rescue foundations&lt;/a&gt; for local rehoming options.&lt;"&amp;"/p&gt;&lt;h3&gt;Where can I locate reliable veterinary care for small breeds in Vellore?&lt;/h3&gt;&lt;p&gt;Veterinary clinics near Katpadi Junction and Vellore Fort offer specialized wellness checks, vaccinations, and dental care for toy breeds. To report unethical breeding "&amp;"practices or mistreatment in the area, reach out to &lt;a href=""https://www.petaindia.com""&gt;cruelty prevention advocates&lt;/a&gt; to take appropriate action.&lt;/p&gt;&lt;h3&gt;How do Chihuahua puppies adjust to Vellore's warm inland climate?&lt;/h3&gt;&lt;p&gt;Chihuahuas handle indoor"&amp;" apartment living very well, but high temperatures near Katpadi require climate-controlled spaces and plenty of hydration. Walking your puppy during cooler early morning hours in quiet residential pockets prevents heat exhaustion.&lt;/p&gt;")</f>
        <v>&lt;h2&gt;Chihuahua Puppies in Vellore, Tamil Nadu - FAQs&lt;/h2&gt;&lt;h3&gt;What municipal regulations and local adoption guidelines apply when getting a Chihuahua puppy in Vellore?&lt;/h3&gt;&lt;p&gt;Pet owners around Gandhi Nagar, Sathuvachari, and Katpadi must register their dogs with the Vellore City Municipal Corporation and keep anti-rabies immunizations current. If you prefer adoptions over commercial buying, consult &lt;a href="https://www.peopleforanimalsindia.org"&gt;paws and rescue foundations&lt;/a&gt; for local rehoming options.&lt;/p&gt;&lt;h3&gt;Where can I locate reliable veterinary care for small breeds in Vellore?&lt;/h3&gt;&lt;p&gt;Veterinary clinics near Katpadi Junction and Vellore Fort offer specialized wellness checks, vaccinations, and dental care for toy breeds. To report unethical breeding practices or mistreatment in the area, reach out to &lt;a href="https://www.petaindia.com"&gt;cruelty prevention advocates&lt;/a&gt; to take appropriate action.&lt;/p&gt;&lt;h3&gt;How do Chihuahua puppies adjust to Vellore's warm inland climate?&lt;/h3&gt;&lt;p&gt;Chihuahuas handle indoor apartment living very well, but high temperatures near Katpadi require climate-controlled spaces and plenty of hydration. Walking your puppy during cooler early morning hours in quiet residential pockets prevents heat exhaustion.&lt;/p&gt;</v>
      </c>
    </row>
    <row r="42" spans="1:11" x14ac:dyDescent="0.25">
      <c r="A42" s="2" t="s">
        <v>324</v>
      </c>
      <c r="B42" s="2" t="s">
        <v>12</v>
      </c>
      <c r="C42" s="2" t="s">
        <v>325</v>
      </c>
      <c r="D42" s="2" t="s">
        <v>326</v>
      </c>
      <c r="E42" s="2" t="s">
        <v>327</v>
      </c>
      <c r="F42" s="2" t="s">
        <v>328</v>
      </c>
      <c r="G42" s="2" t="s">
        <v>329</v>
      </c>
      <c r="H42" s="2" t="s">
        <v>330</v>
      </c>
      <c r="I42" s="2" t="s">
        <v>331</v>
      </c>
      <c r="J42" s="2" t="str">
        <f ca="1">IFERROR(__xludf.DUMMYFUNCTION("AI(""Act as an expert copywriter and automotive maintenance specialist. Write a unique, 1-paragraph care guide and maintenance cost breakdown for "" &amp; A42 &amp; "" located in "" &amp; B42 &amp; "". Start the output directly with an HTML h2 heading containing the vehi"&amp;"cle/service name and location (e.g., &lt;h2&gt;"" &amp; A42 &amp; "" Care Guide and Maintenance Costs in "" &amp; B42 &amp; ""&lt;/h2&gt;). Follow the heading with exactly one detailed paragraph of expert-level advice covering preventive maintenance routines, common local wear-and-t"&amp;"ear factors specific to "" &amp; B42 &amp; "", and estimated servicing costs. Ensure the content is completely original, avoids generic filler, and contains no repeated phrasing or duplicate templates across rows."")"),"&lt;h2&gt;Chihuahua Puppies Care Guide and Maintenance Costs in Calicut, Kerala&lt;/h2&gt;Caring for a Chihuahua puppy in Calicut demands an attentive health and maintenance regimen adapted to the warm, humid coastal climate of the Malabar region. To maintain optimum"&amp;" physical vitality near areas like Mavoor Road and Beach Road, prioritize nutrient-dense kibble formulated for toy breeds, constant hydration, and daily oral hygiene to guard against periodontal conditions. High humidity and elevated temperatures make vig"&amp;"ilant flea and tick prevention, coat maintenance, and well-ventilated indoor living essential for delicate toy puppies. On average, annual care and maintenance costs across Kozhikode range between ₹15,000 and ₹35,000, covering high-grade puppy nutrition, "&amp;"routine veterinary evaluations, core vaccinations, regular deworming, and basic professional grooming services.")</f>
        <v>&lt;h2&gt;Chihuahua Puppies Care Guide and Maintenance Costs in Calicut, Kerala&lt;/h2&gt;Caring for a Chihuahua puppy in Calicut demands an attentive health and maintenance regimen adapted to the warm, humid coastal climate of the Malabar region. To maintain optimum physical vitality near areas like Mavoor Road and Beach Road, prioritize nutrient-dense kibble formulated for toy breeds, constant hydration, and daily oral hygiene to guard against periodontal conditions. High humidity and elevated temperatures make vigilant flea and tick prevention, coat maintenance, and well-ventilated indoor living essential for delicate toy puppies. On average, annual care and maintenance costs across Kozhikode range between ₹15,000 and ₹35,000, covering high-grade puppy nutrition, routine veterinary evaluations, core vaccinations, regular deworming, and basic professional grooming services.</v>
      </c>
      <c r="K42" s="2" t="str">
        <f ca="1">IFERROR(__xludf.DUMMYFUNCTION("AI(""Write 3 unique FAQs in HTML format for "" &amp; A42 &amp; "" in "" &amp; B42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Calicut, Kerala - FAQs&lt;/h2&gt;&lt;h3&gt;What Kozhikode Corporation regulations apply when getting a Chihuahua puppy in Calicut?&lt;/h3&gt;&lt;p&gt;Pet parents around Mavoor Road and Focus Mall must comply with Kozhikode Corporation registration norms,"&amp;" maintain up-to-date rabies immunizations, and adhere to state animal care rules. Before purchasing a pup, consider checking &lt;a href=""https://www.peopleforanimalsindia.org""&gt;local pet rescue networks&lt;/a&gt; for ethical adoption options across Malabar.&lt;/p&gt;&lt;h"&amp;"3&gt;Where can I find reliable veterinary care for toy breeds in Kozhikode?&lt;/h3&gt;&lt;p&gt;Veterinary clinics operating near Beach Road and Kozhikode Railway Station offer specialized wellness checks, vaccinations, and climate care advice for toy dogs. To report ill"&amp;"egal breeding practices or animal abuse around Kozhikode Bypass, contact &lt;a href=""https://www.petaindia.com""&gt;cruelty prevention organizations&lt;/a&gt; to submit a formal report.&lt;/p&gt;&lt;h3&gt;How well do Chihuahua puppies adapt to the coastal climate in Calicut?&lt;/h"&amp;"3&gt;&lt;p&gt;Chihuahuas adapt well to indoor apartment living near areas like Mananchira Square, but require well-ventilated spaces, constant hydration, and routine grooming to comfortably handle Kozhikode's warm, high-humidity weather.&lt;/p&gt;")</f>
        <v>&lt;h2&gt;Chihuahua Puppies in Calicut, Kerala - FAQs&lt;/h2&gt;&lt;h3&gt;What Kozhikode Corporation regulations apply when getting a Chihuahua puppy in Calicut?&lt;/h3&gt;&lt;p&gt;Pet parents around Mavoor Road and Focus Mall must comply with Kozhikode Corporation registration norms, maintain up-to-date rabies immunizations, and adhere to state animal care rules. Before purchasing a pup, consider checking &lt;a href="https://www.peopleforanimalsindia.org"&gt;local pet rescue networks&lt;/a&gt; for ethical adoption options across Malabar.&lt;/p&gt;&lt;h3&gt;Where can I find reliable veterinary care for toy breeds in Kozhikode?&lt;/h3&gt;&lt;p&gt;Veterinary clinics operating near Beach Road and Kozhikode Railway Station offer specialized wellness checks, vaccinations, and climate care advice for toy dogs. To report illegal breeding practices or animal abuse around Kozhikode Bypass, contact &lt;a href="https://www.petaindia.com"&gt;cruelty prevention organizations&lt;/a&gt; to submit a formal report.&lt;/p&gt;&lt;h3&gt;How well do Chihuahua puppies adapt to the coastal climate in Calicut?&lt;/h3&gt;&lt;p&gt;Chihuahuas adapt well to indoor apartment living near areas like Mananchira Square, but require well-ventilated spaces, constant hydration, and routine grooming to comfortably handle Kozhikode's warm, high-humidity weather.&lt;/p&gt;</v>
      </c>
    </row>
    <row r="43" spans="1:11" x14ac:dyDescent="0.25">
      <c r="A43" s="2" t="s">
        <v>332</v>
      </c>
      <c r="B43" s="2" t="s">
        <v>12</v>
      </c>
      <c r="C43" s="2" t="s">
        <v>333</v>
      </c>
      <c r="D43" s="2" t="s">
        <v>334</v>
      </c>
      <c r="E43" s="2" t="s">
        <v>335</v>
      </c>
      <c r="F43" s="2" t="s">
        <v>336</v>
      </c>
      <c r="G43" s="2" t="s">
        <v>337</v>
      </c>
      <c r="H43" s="2" t="s">
        <v>338</v>
      </c>
      <c r="I43" s="2" t="s">
        <v>339</v>
      </c>
      <c r="J43" s="2" t="str">
        <f ca="1">IFERROR(__xludf.DUMMYFUNCTION("AI(""Act as an expert copywriter and automotive maintenance specialist. Write a unique, 1-paragraph care guide and maintenance cost breakdown for "" &amp; A43 &amp; "" located in "" &amp; B43 &amp; "". Start the output directly with an HTML h2 heading containing the vehi"&amp;"cle/service name and location (e.g., &lt;h2&gt;"" &amp; A43 &amp; "" Care Guide and Maintenance Costs in "" &amp; B43 &amp; ""&lt;/h2&gt;). Follow the heading with exactly one detailed paragraph of expert-level advice covering preventive maintenance routines, common local wear-and-t"&amp;"ear factors specific to "" &amp; B43 &amp; "", and estimated servicing costs. Ensure the content is completely original, avoids generic filler, and contains no repeated phrasing or duplicate templates across rows."")"),"&lt;h2&gt;Chihuahua Puppies Care Guide and Maintenance Costs in Nagercoil, Tamil Nadu&lt;/h2&gt;Caring for a Chihuahua puppy in Nagercoil requires a wellness routine adapted to southern Tamil Nadu's humid coastal climate and warm weather conditions. To support your t"&amp;"oy breed's long-term health around neighborhoods like Vadasery, Kottar, and Chidambara Nagar, provide nutrient-dense small-kibble nutrition, ensure continuous access to fresh water to mitigate heat stress, and establish daily oral hygiene to safeguard aga"&amp;"inst early periodontal disease. Navigating local coastal humidity and dusty urban corridors along MS Road makes routine flea and tick prevention, coat maintenance, and keeping walks restricted to cooler morning or evening hours essential. On average, annu"&amp;"al care and maintenance costs in Nagercoil range between ₹15,000 and ₹35,000, which encompasses high-quality puppy food, routine veterinary checkups, core vaccinations, parasite treatments, and basic grooming essentials.")</f>
        <v>&lt;h2&gt;Chihuahua Puppies Care Guide and Maintenance Costs in Nagercoil, Tamil Nadu&lt;/h2&gt;Caring for a Chihuahua puppy in Nagercoil requires a wellness routine adapted to southern Tamil Nadu's humid coastal climate and warm weather conditions. To support your toy breed's long-term health around neighborhoods like Vadasery, Kottar, and Chidambara Nagar, provide nutrient-dense small-kibble nutrition, ensure continuous access to fresh water to mitigate heat stress, and establish daily oral hygiene to safeguard against early periodontal disease. Navigating local coastal humidity and dusty urban corridors along MS Road makes routine flea and tick prevention, coat maintenance, and keeping walks restricted to cooler morning or evening hours essential. On average, annual care and maintenance costs in Nagercoil range between ₹15,000 and ₹35,000, which encompasses high-quality puppy food, routine veterinary checkups, core vaccinations, parasite treatments, and basic grooming essentials.</v>
      </c>
      <c r="K43" s="2" t="str">
        <f ca="1">IFERROR(__xludf.DUMMYFUNCTION("AI(""Write 3 unique FAQs in HTML format for "" &amp; A43 &amp; "" in "" &amp; B43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Nagercoil, Tamil Nadu - FAQs&lt;/h2&gt;&lt;h3&gt;What local municipal rules apply to Chihuahua puppy owners in Nagercoil?&lt;/h3&gt;&lt;p&gt;Pet parents around Vadasery and Kottar must adhere to Nagercoil Municipal Corporation guidelines, including manda"&amp;"tory rabies immunizations and microchipping. Prospective owners are encouraged to review &lt;a href=""https://www.peopleforanimalsindia.org""&gt;local adoption guidelines&lt;/a&gt; or connect with rescue groups prior to purchasing.&lt;/p&gt;&lt;h3&gt;Where can I find reliable ne"&amp;"arby vet care for toy breeds in Nagercoil?&lt;/h3&gt;&lt;p&gt;Veterinary clinics along MS Road and near the Vadasery Bus Stand offer specialized health checks, vaccinations, and climate care for small dogs. If you encounter unethical breeding practices or animal abus"&amp;"e in the Kanyakumari district, contact &lt;a href=""https://www.petaindia.com""&gt;animal rights advocacy organisations&lt;/a&gt; immediately.&lt;/p&gt;&lt;h3&gt;How do Chihuahua puppies adjust to Nagercoil's coastal weather conditions?&lt;/h3&gt;&lt;p&gt;Chihuahuas thrive in homes around C"&amp;"hidambara Nagar and Ramanpudur when provided with adequate cooling, continuous hydration, and scheduled outdoor walks during cooler morning or evening hours to avoid heat stress.&lt;/p&gt;")</f>
        <v>&lt;h2&gt;Chihuahua Puppies in Nagercoil, Tamil Nadu - FAQs&lt;/h2&gt;&lt;h3&gt;What local municipal rules apply to Chihuahua puppy owners in Nagercoil?&lt;/h3&gt;&lt;p&gt;Pet parents around Vadasery and Kottar must adhere to Nagercoil Municipal Corporation guidelines, including mandatory rabies immunizations and microchipping. Prospective owners are encouraged to review &lt;a href="https://www.peopleforanimalsindia.org"&gt;local adoption guidelines&lt;/a&gt; or connect with rescue groups prior to purchasing.&lt;/p&gt;&lt;h3&gt;Where can I find reliable nearby vet care for toy breeds in Nagercoil?&lt;/h3&gt;&lt;p&gt;Veterinary clinics along MS Road and near the Vadasery Bus Stand offer specialized health checks, vaccinations, and climate care for small dogs. If you encounter unethical breeding practices or animal abuse in the Kanyakumari district, contact &lt;a href="https://www.petaindia.com"&gt;animal rights advocacy organisations&lt;/a&gt; immediately.&lt;/p&gt;&lt;h3&gt;How do Chihuahua puppies adjust to Nagercoil's coastal weather conditions?&lt;/h3&gt;&lt;p&gt;Chihuahuas thrive in homes around Chidambara Nagar and Ramanpudur when provided with adequate cooling, continuous hydration, and scheduled outdoor walks during cooler morning or evening hours to avoid heat stress.&lt;/p&gt;</v>
      </c>
    </row>
    <row r="44" spans="1:11" x14ac:dyDescent="0.25">
      <c r="A44" s="2" t="s">
        <v>340</v>
      </c>
      <c r="B44" s="2" t="s">
        <v>12</v>
      </c>
      <c r="C44" s="2" t="s">
        <v>341</v>
      </c>
      <c r="D44" s="2" t="s">
        <v>342</v>
      </c>
      <c r="E44" s="2" t="s">
        <v>343</v>
      </c>
      <c r="F44" s="2" t="s">
        <v>344</v>
      </c>
      <c r="G44" s="2" t="s">
        <v>345</v>
      </c>
      <c r="H44" s="2" t="s">
        <v>346</v>
      </c>
      <c r="I44" s="2" t="s">
        <v>347</v>
      </c>
      <c r="J44" s="2" t="str">
        <f ca="1">IFERROR(__xludf.DUMMYFUNCTION("AI(""Act as an expert copywriter and automotive maintenance specialist. Write a unique, 1-paragraph care guide and maintenance cost breakdown for "" &amp; A44 &amp; "" located in "" &amp; B44 &amp; "". Start the output directly with an HTML h2 heading containing the vehi"&amp;"cle/service name and location (e.g., &lt;h2&gt;"" &amp; A44 &amp; "" Care Guide and Maintenance Costs in "" &amp; B44 &amp; ""&lt;/h2&gt;). Follow the heading with exactly one detailed paragraph of expert-level advice covering preventive maintenance routines, common local wear-and-t"&amp;"ear factors specific to "" &amp; B44 &amp; "", and estimated servicing costs. Ensure the content is completely original, avoids generic filler, and contains no repeated phrasing or duplicate templates across rows."")"),"&lt;h2&gt;Chihuahua Puppies Care Guide and Maintenance Costs in Neyveli, Tamil Nadu&lt;/h2&gt;Caring for a Chihuahua puppy in the peaceful township of Neyveli requires a dedicated health routine adapted to the region's warm industrial climate and residential layout. "&amp;"To maintain optimal vitality, provide nutrient-rich puppy food specifically formulated for toy breeds, ensure continuous access to fresh water to avoid heat exhaustion, and practice daily dental care to guard against periodontal disease. Exercising your p"&amp;"uppy around quiet township sectors near Block 1 through Block 30 or Mandarakuppam should be kept to cooler early morning or evening hours to protect sensitive paws from hot asphalt. On average, annual maintenance costs in Neyveli range from ₹15,000 to ₹35"&amp;",000, which accounts for premium diet kibble, routine veterinary checkups, mandatory vaccinations, parasite preventatives, and essential grooming care.")</f>
        <v>&lt;h2&gt;Chihuahua Puppies Care Guide and Maintenance Costs in Neyveli, Tamil Nadu&lt;/h2&gt;Caring for a Chihuahua puppy in the peaceful township of Neyveli requires a dedicated health routine adapted to the region's warm industrial climate and residential layout. To maintain optimal vitality, provide nutrient-rich puppy food specifically formulated for toy breeds, ensure continuous access to fresh water to avoid heat exhaustion, and practice daily dental care to guard against periodontal disease. Exercising your puppy around quiet township sectors near Block 1 through Block 30 or Mandarakuppam should be kept to cooler early morning or evening hours to protect sensitive paws from hot asphalt. On average, annual maintenance costs in Neyveli range from ₹15,000 to ₹35,000, which accounts for premium diet kibble, routine veterinary checkups, mandatory vaccinations, parasite preventatives, and essential grooming care.</v>
      </c>
      <c r="K44" s="2" t="str">
        <f ca="1">IFERROR(__xludf.DUMMYFUNCTION("AI(""Write 3 unique FAQs in HTML format for "" &amp; A44 &amp; "" in "" &amp; B44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Neyveli, Tamil Nadu - FAQs&lt;/h2&gt;&lt;h3&gt;What municipal regulations and animal welfare guidelines apply to Chihuahua puppies in Neyveli?&lt;/h3&gt;&lt;p&gt;Pet owners residing across Block 1 to Block 30 or near Mandarakuppam must comply with NLC to"&amp;"wnship sanitation standards and mandatory anti-rabies vaccination rules. Before purchasing, review ethical breeding practices or connect with &lt;a href=""https://www.peopleforanimalsindia.org""&gt;local pet rescue organizations&lt;/a&gt; to explore adoption options."&amp;"&lt;/p&gt;&lt;h3&gt;Where can I find veterinary care for toy breeds in Neyveli?&lt;/h3&gt;&lt;p&gt;Veterinary clinics situated around the NLC Arch Gate and Gandhi Nagar provide routine health evaluations, immunizations, and heat-stress management for small breeds. If you observe"&amp;" illegal breeding operations or neglect near Four Road, notify &lt;a href=""https://www.petaindia.com""&gt;animal rights protection groups&lt;/a&gt; to report the offense.&lt;/p&gt;&lt;h3&gt;Are Chihuahua puppies well-suited for township living in Neyveli?&lt;/h3&gt;&lt;p&gt;Yes, their comp"&amp;"act size makes them ideal for indoor residential quarters across the township. Due to the warm local climate, keep your puppy in well-ventilated spaces and plan short walks along quieter lanes in Mandarakuppam during cooler hours.&lt;/p&gt;")</f>
        <v>&lt;h2&gt;Chihuahua Puppies in Neyveli, Tamil Nadu - FAQs&lt;/h2&gt;&lt;h3&gt;What municipal regulations and animal welfare guidelines apply to Chihuahua puppies in Neyveli?&lt;/h3&gt;&lt;p&gt;Pet owners residing across Block 1 to Block 30 or near Mandarakuppam must comply with NLC township sanitation standards and mandatory anti-rabies vaccination rules. Before purchasing, review ethical breeding practices or connect with &lt;a href="https://www.peopleforanimalsindia.org"&gt;local pet rescue organizations&lt;/a&gt; to explore adoption options.&lt;/p&gt;&lt;h3&gt;Where can I find veterinary care for toy breeds in Neyveli?&lt;/h3&gt;&lt;p&gt;Veterinary clinics situated around the NLC Arch Gate and Gandhi Nagar provide routine health evaluations, immunizations, and heat-stress management for small breeds. If you observe illegal breeding operations or neglect near Four Road, notify &lt;a href="https://www.petaindia.com"&gt;animal rights protection groups&lt;/a&gt; to report the offense.&lt;/p&gt;&lt;h3&gt;Are Chihuahua puppies well-suited for township living in Neyveli?&lt;/h3&gt;&lt;p&gt;Yes, their compact size makes them ideal for indoor residential quarters across the township. Due to the warm local climate, keep your puppy in well-ventilated spaces and plan short walks along quieter lanes in Mandarakuppam during cooler hours.&lt;/p&gt;</v>
      </c>
    </row>
    <row r="45" spans="1:11" x14ac:dyDescent="0.25">
      <c r="A45" s="2" t="s">
        <v>348</v>
      </c>
      <c r="B45" s="2" t="s">
        <v>12</v>
      </c>
      <c r="C45" s="2" t="s">
        <v>349</v>
      </c>
      <c r="D45" s="2" t="s">
        <v>350</v>
      </c>
      <c r="E45" s="2" t="s">
        <v>351</v>
      </c>
      <c r="F45" s="2" t="s">
        <v>352</v>
      </c>
      <c r="G45" s="2" t="s">
        <v>353</v>
      </c>
      <c r="H45" s="2" t="s">
        <v>354</v>
      </c>
      <c r="I45" s="2" t="s">
        <v>355</v>
      </c>
      <c r="J45" s="2" t="str">
        <f ca="1">IFERROR(__xludf.DUMMYFUNCTION("AI(""Act as an expert copywriter and automotive maintenance specialist. Write a unique, 1-paragraph care guide and maintenance cost breakdown for "" &amp; A45 &amp; "" located in "" &amp; B45 &amp; "". Start the output directly with an HTML h2 heading containing the vehi"&amp;"cle/service name and location (e.g., &lt;h2&gt;"" &amp; A45 &amp; "" Care Guide and Maintenance Costs in "" &amp; B45 &amp; ""&lt;/h2&gt;). Follow the heading with exactly one detailed paragraph of expert-level advice covering preventive maintenance routines, common local wear-and-t"&amp;"ear factors specific to "" &amp; B45 &amp; "", and estimated servicing costs. Ensure the content is completely original, avoids generic filler, and contains no repeated phrasing or duplicate templates across rows."")"),"&lt;h2&gt;Chihuahua Puppies Care Guide and Maintenance Costs in Munnar, Kerala&lt;/h2&gt;Caring for a Chihuahua puppy in the cold, high-altitude climate of Munnar requires a dedicated wellness routine focused on thermal protection and proper nutrition. Given the chil"&amp;"ly mountain air around Old Munnar and Mattupetty Road, keeping your toy breed equipped with insulated fleece sweaters, warm bedding, and climate-controlled indoor shelter is essential to prevent hypothermia and cold-induced hypoglycemia. A nutrient-rich, "&amp;"high-protein diet tailored for small breeds helps maintain their fast metabolism, while regular indoor play and short walks near the Tea Museum keep them active without overexposure to damp weather. On average, annual maintenance costs in Munnar range bet"&amp;"ween ₹15,000 and ₹35,000, covering high-quality puppy kibble, routine veterinary checkups, core vaccinations, deworming, and essential cold-weather apparel.")</f>
        <v>&lt;h2&gt;Chihuahua Puppies Care Guide and Maintenance Costs in Munnar, Kerala&lt;/h2&gt;Caring for a Chihuahua puppy in the cold, high-altitude climate of Munnar requires a dedicated wellness routine focused on thermal protection and proper nutrition. Given the chilly mountain air around Old Munnar and Mattupetty Road, keeping your toy breed equipped with insulated fleece sweaters, warm bedding, and climate-controlled indoor shelter is essential to prevent hypothermia and cold-induced hypoglycemia. A nutrient-rich, high-protein diet tailored for small breeds helps maintain their fast metabolism, while regular indoor play and short walks near the Tea Museum keep them active without overexposure to damp weather. On average, annual maintenance costs in Munnar range between ₹15,000 and ₹35,000, covering high-quality puppy kibble, routine veterinary checkups, core vaccinations, deworming, and essential cold-weather apparel.</v>
      </c>
      <c r="K45" s="2" t="str">
        <f ca="1">IFERROR(__xludf.DUMMYFUNCTION("AI(""Write 3 unique FAQs in HTML format for "" &amp; A45 &amp; "" in "" &amp; B45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Munnar, Kerala - FAQs&lt;/h2&gt;&lt;h3&gt;What local animal welfare laws and Panchayat rules apply to keeping a Chihuahua in Munnar?&lt;/h3&gt;&lt;p&gt;Pet owners across Old Munnar and Mattupetty Road must comply with local Kerala Panchayat regulations b"&amp;"y keeping core vaccinations up to date and maintaining valid health records. Before purchasing, prospective owners are encouraged to review ethical pet care standards or consult &lt;a href=""https://www.peopleforanimalsindia.org""&gt;rescue dog networks in Kera"&amp;"la&lt;/a&gt; for adoption alternatives in the High Range region.&lt;/p&gt;&lt;h3&gt;How can I report poor breeding conditions or animal mistreatment near Munnar Market?&lt;/h3&gt;&lt;p&gt;If you encounter unauthorized breeding facilities, poor health practices, or mistreatment near th"&amp;"e Tea Museum or commercial areas, you can reach out to &lt;a href=""https://www.petaindia.com""&gt;animal cruelty reporting organizations&lt;/a&gt; to submit a formal complaint to authorities.&lt;/p&gt;&lt;h3&gt;Is the cool mountain climate of Munnar safe for short-haired Chihua"&amp;"hua puppies?&lt;/h3&gt;&lt;p&gt;Yes, Chihuahuas can thrive in Munnar's high-altitude climate provided they receive adequate thermal protection. Equipping your puppy with warm sweaters and keeping indoor spaces climate-controlled ensures they stay safe during cold spe"&amp;"lls in Old Munnar.&lt;/p&gt;")</f>
        <v>&lt;h2&gt;Chihuahua Puppies in Munnar, Kerala - FAQs&lt;/h2&gt;&lt;h3&gt;What local animal welfare laws and Panchayat rules apply to keeping a Chihuahua in Munnar?&lt;/h3&gt;&lt;p&gt;Pet owners across Old Munnar and Mattupetty Road must comply with local Kerala Panchayat regulations by keeping core vaccinations up to date and maintaining valid health records. Before purchasing, prospective owners are encouraged to review ethical pet care standards or consult &lt;a href="https://www.peopleforanimalsindia.org"&gt;rescue dog networks in Kerala&lt;/a&gt; for adoption alternatives in the High Range region.&lt;/p&gt;&lt;h3&gt;How can I report poor breeding conditions or animal mistreatment near Munnar Market?&lt;/h3&gt;&lt;p&gt;If you encounter unauthorized breeding facilities, poor health practices, or mistreatment near the Tea Museum or commercial areas, you can reach out to &lt;a href="https://www.petaindia.com"&gt;animal cruelty reporting organizations&lt;/a&gt; to submit a formal complaint to authorities.&lt;/p&gt;&lt;h3&gt;Is the cool mountain climate of Munnar safe for short-haired Chihuahua puppies?&lt;/h3&gt;&lt;p&gt;Yes, Chihuahuas can thrive in Munnar's high-altitude climate provided they receive adequate thermal protection. Equipping your puppy with warm sweaters and keeping indoor spaces climate-controlled ensures they stay safe during cold spells in Old Munnar.&lt;/p&gt;</v>
      </c>
    </row>
    <row r="46" spans="1:11" x14ac:dyDescent="0.25">
      <c r="A46" s="2" t="s">
        <v>356</v>
      </c>
      <c r="B46" s="2" t="s">
        <v>12</v>
      </c>
      <c r="C46" s="2" t="s">
        <v>357</v>
      </c>
      <c r="D46" s="2" t="s">
        <v>358</v>
      </c>
      <c r="E46" s="2" t="s">
        <v>359</v>
      </c>
      <c r="F46" s="2" t="s">
        <v>360</v>
      </c>
      <c r="G46" s="2" t="s">
        <v>361</v>
      </c>
      <c r="H46" s="2" t="s">
        <v>362</v>
      </c>
      <c r="I46" s="2" t="s">
        <v>363</v>
      </c>
      <c r="J46" s="2" t="str">
        <f ca="1">IFERROR(__xludf.DUMMYFUNCTION("AI(""Act as an expert copywriter and automotive maintenance specialist. Write a unique, 1-paragraph care guide and maintenance cost breakdown for "" &amp; A46 &amp; "" located in "" &amp; B46 &amp; "". Start the output directly with an HTML h2 heading containing the vehi"&amp;"cle/service name and location (e.g., &lt;h2&gt;"" &amp; A46 &amp; "" Care Guide and Maintenance Costs in "" &amp; B46 &amp; ""&lt;/h2&gt;). Follow the heading with exactly one detailed paragraph of expert-level advice covering preventive maintenance routines, common local wear-and-t"&amp;"ear factors specific to "" &amp; B46 &amp; "", and estimated servicing costs. Ensure the content is completely original, avoids generic filler, and contains no repeated phrasing or duplicate templates across rows."")"),"&lt;h2&gt;Chihuahua Puppies Care Guide and Maintenance Costs in Wayanad, Kerala&lt;/h2&gt;Caring for a Chihuahua puppy in the chilly, high-altitude terrain of Wayanad demands a tailored wellness approach focused on thermal protection and proper nutrition. Due to thei"&amp;"r small size and low tolerance for cold mountain dampness across towns like Kalpetta, Sulthan Bathery, and Mananthavady, these puppies require warm fleece sweaters, elevated bedding, and draft-free indoor spaces to prevent respiratory strain. Provide high"&amp;"-calorie, nutrient-dense kibble formulated for toy breeds to support their fast metabolism, along with daily oral hygiene to safeguard against early dental issues. Navigating high humidity during monsoon seasons also increases the need for strict tick and"&amp;" flea prevention and regular ear cleaning. Annual care and maintenance costs in Wayanad typically range between ₹15,000 and ₹35,000, covering quality puppy food, routine veterinary checkups, vaccinations, parasite control, and essential winter accessories"&amp;".")</f>
        <v>&lt;h2&gt;Chihuahua Puppies Care Guide and Maintenance Costs in Wayanad, Kerala&lt;/h2&gt;Caring for a Chihuahua puppy in the chilly, high-altitude terrain of Wayanad demands a tailored wellness approach focused on thermal protection and proper nutrition. Due to their small size and low tolerance for cold mountain dampness across towns like Kalpetta, Sulthan Bathery, and Mananthavady, these puppies require warm fleece sweaters, elevated bedding, and draft-free indoor spaces to prevent respiratory strain. Provide high-calorie, nutrient-dense kibble formulated for toy breeds to support their fast metabolism, along with daily oral hygiene to safeguard against early dental issues. Navigating high humidity during monsoon seasons also increases the need for strict tick and flea prevention and regular ear cleaning. Annual care and maintenance costs in Wayanad typically range between ₹15,000 and ₹35,000, covering quality puppy food, routine veterinary checkups, vaccinations, parasite control, and essential winter accessories.</v>
      </c>
      <c r="K46" s="2" t="str">
        <f ca="1">IFERROR(__xludf.DUMMYFUNCTION("AI(""Write 3 unique FAQs in HTML format for "" &amp; A46 &amp; "" in "" &amp; B46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Wayanad, Kerala - FAQs&lt;/h2&gt;&lt;h3&gt;What local animal welfare laws apply when bringing a Chihuahua puppy to Wayanad?&lt;/h3&gt;&lt;p&gt;Pet owners across Kalpetta and Sulthan Bathery must comply with Kerala state animal husbandry mandates and loca"&amp;"l Panchayath registration directives, including mandatory anti-rabies immunizations. Before purchasing, consider exploring ethical rehoming through &lt;a href=""https://www.peopleforanimalsindia.org""&gt;local pet rescue organizations&lt;/a&gt; to evaluate adoption p"&amp;"ossibilities in the high-range region.&lt;/p&gt;&lt;h3&gt;Where can I find reliable veterinary care for toy breeds around Wayanad?&lt;/h3&gt;&lt;p&gt;Veterinary hospitals in Kalpetta and government pet clinics near Mananthavady offer specialized health monitoring, routine vaccin"&amp;"ations, and cold-weather care tailored for small breeds. If you witness unethical breeding practices or neglect along the Kozhikode-Kollegal highway belt, report details to &lt;a href=""https://www.petaindia.com""&gt;animal protection advocates&lt;/a&gt; to take appr"&amp;"opriate action.&lt;/p&gt;&lt;h3&gt;How do Chihuahua puppies adapt to the chilly climate in Wayanad?&lt;/h3&gt;&lt;p&gt;Due to Wayanad's high altitude and cool mountain humidity, Chihuahua puppies require warm sweaters, padded indoor bedding, and protection from damp drafts. Keep"&amp;"ing them indoors during heavy monsoons and providing high-calorie nutrition ensures they maintain optimal body temperature and health.&lt;/p&gt;")</f>
        <v>&lt;h2&gt;Chihuahua Puppies in Wayanad, Kerala - FAQs&lt;/h2&gt;&lt;h3&gt;What local animal welfare laws apply when bringing a Chihuahua puppy to Wayanad?&lt;/h3&gt;&lt;p&gt;Pet owners across Kalpetta and Sulthan Bathery must comply with Kerala state animal husbandry mandates and local Panchayath registration directives, including mandatory anti-rabies immunizations. Before purchasing, consider exploring ethical rehoming through &lt;a href="https://www.peopleforanimalsindia.org"&gt;local pet rescue organizations&lt;/a&gt; to evaluate adoption possibilities in the high-range region.&lt;/p&gt;&lt;h3&gt;Where can I find reliable veterinary care for toy breeds around Wayanad?&lt;/h3&gt;&lt;p&gt;Veterinary hospitals in Kalpetta and government pet clinics near Mananthavady offer specialized health monitoring, routine vaccinations, and cold-weather care tailored for small breeds. If you witness unethical breeding practices or neglect along the Kozhikode-Kollegal highway belt, report details to &lt;a href="https://www.petaindia.com"&gt;animal protection advocates&lt;/a&gt; to take appropriate action.&lt;/p&gt;&lt;h3&gt;How do Chihuahua puppies adapt to the chilly climate in Wayanad?&lt;/h3&gt;&lt;p&gt;Due to Wayanad's high altitude and cool mountain humidity, Chihuahua puppies require warm sweaters, padded indoor bedding, and protection from damp drafts. Keeping them indoors during heavy monsoons and providing high-calorie nutrition ensures they maintain optimal body temperature and health.&lt;/p&gt;</v>
      </c>
    </row>
    <row r="47" spans="1:11" x14ac:dyDescent="0.25">
      <c r="A47" s="2" t="s">
        <v>364</v>
      </c>
      <c r="B47" s="2" t="s">
        <v>12</v>
      </c>
      <c r="C47" s="2" t="s">
        <v>365</v>
      </c>
      <c r="D47" s="2" t="s">
        <v>366</v>
      </c>
      <c r="E47" s="2" t="s">
        <v>367</v>
      </c>
      <c r="F47" s="2" t="s">
        <v>368</v>
      </c>
      <c r="G47" s="2" t="s">
        <v>369</v>
      </c>
      <c r="H47" s="2" t="s">
        <v>370</v>
      </c>
      <c r="I47" s="2" t="s">
        <v>371</v>
      </c>
      <c r="J47" s="2" t="str">
        <f ca="1">IFERROR(__xludf.DUMMYFUNCTION("AI(""Act as an expert copywriter and automotive maintenance specialist. Write a unique, 1-paragraph care guide and maintenance cost breakdown for "" &amp; A47 &amp; "" located in "" &amp; B47 &amp; "". Start the output directly with an HTML h2 heading containing the vehi"&amp;"cle/service name and location (e.g., &lt;h2&gt;"" &amp; A47 &amp; "" Care Guide and Maintenance Costs in "" &amp; B47 &amp; ""&lt;/h2&gt;). Follow the heading with exactly one detailed paragraph of expert-level advice covering preventive maintenance routines, common local wear-and-t"&amp;"ear factors specific to "" &amp; B47 &amp; "", and estimated servicing costs. Ensure the content is completely original, avoids generic filler, and contains no repeated phrasing or duplicate templates across rows."")"),"&lt;h2&gt;Chihuahua Puppies Care Guide and Maintenance Costs in Thrissur, Kerala&lt;/h2&gt;Caring for a Chihuahua puppy in Thrissur requires a well-structured health and upkeep strategy adapted to Central Kerala's humid tropical climate and vibrant municipal environm"&amp;"ent. To safeguard your toy companion's long-term health, provide a nutrient-dense diet tailored for miniature breeds, ensure continuous indoor hydration, and maintain consistent dental brushing to avoid early periodontal issues. Navigating residential are"&amp;"as near Swaraj Round, Punkunnam, and East Fort during monsoon months introduces high humidity and seasonal rain exposure, making proactive skin fold hygiene, coat drying, and regular flea and tick preventive care essential. On average, annual maintenance "&amp;"costs in Thrissur range from ₹15,000 to ₹35,000, covering high-quality puppy kibble, routine veterinary health checkups, mandatory core immunizations, periodic deworming, and professional grooming sessions.")</f>
        <v>&lt;h2&gt;Chihuahua Puppies Care Guide and Maintenance Costs in Thrissur, Kerala&lt;/h2&gt;Caring for a Chihuahua puppy in Thrissur requires a well-structured health and upkeep strategy adapted to Central Kerala's humid tropical climate and vibrant municipal environment. To safeguard your toy companion's long-term health, provide a nutrient-dense diet tailored for miniature breeds, ensure continuous indoor hydration, and maintain consistent dental brushing to avoid early periodontal issues. Navigating residential areas near Swaraj Round, Punkunnam, and East Fort during monsoon months introduces high humidity and seasonal rain exposure, making proactive skin fold hygiene, coat drying, and regular flea and tick preventive care essential. On average, annual maintenance costs in Thrissur range from ₹15,000 to ₹35,000, covering high-quality puppy kibble, routine veterinary health checkups, mandatory core immunizations, periodic deworming, and professional grooming sessions.</v>
      </c>
      <c r="K47" s="2" t="str">
        <f ca="1">IFERROR(__xludf.DUMMYFUNCTION("AI(""Write 3 unique FAQs in HTML format for "" &amp; A47 &amp; "" in "" &amp; B47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Thrissur, Kerala - FAQs&lt;/h2&gt;&lt;h3&gt;What local pet registration laws apply when getting a Chihuahua puppy in Thrissur?&lt;/h3&gt;&lt;p&gt;Dog owners around Swaraj Round and Punkunnam must comply with Thrissur Municipal Corporation licensing rules"&amp;", ensuring up-to-date rabies immunizations and proper microchipping. Before buying, consider checking &lt;a href=""https://www.peopleforanimalsindia.org""&gt;local animal shelter programs&lt;/a&gt; to review ethical adoption alternatives in Kerala.&lt;/p&gt;&lt;h3&gt;Where can I"&amp;" locate nearby vet care for small breeds in Thrissur?&lt;/h3&gt;&lt;p&gt;Veterinary facilities near Patturaikkal and East Fort provide specialized health checks, vaccinations, and monsoon care routines tailored for toy breeds. If you witness unethical breeding or ani"&amp;"mal abuse in the area, report it through &lt;a href=""https://www.petaindia.com""&gt;cruelty prevention channels&lt;/a&gt; immediately.&lt;/p&gt;&lt;h3&gt;Are Chihuahua puppies suitable for climate conditions and apartment life in Thrissur?&lt;/h3&gt;&lt;p&gt;Yes, Chihuahuas thrive in moder"&amp;"n apartments near Sobha City Mall due to their compact size. Proper indoor climate control and routine grooming during humid monsoon periods help maintain their health and vitality.&lt;/p&gt;")</f>
        <v>&lt;h2&gt;Chihuahua Puppies in Thrissur, Kerala - FAQs&lt;/h2&gt;&lt;h3&gt;What local pet registration laws apply when getting a Chihuahua puppy in Thrissur?&lt;/h3&gt;&lt;p&gt;Dog owners around Swaraj Round and Punkunnam must comply with Thrissur Municipal Corporation licensing rules, ensuring up-to-date rabies immunizations and proper microchipping. Before buying, consider checking &lt;a href="https://www.peopleforanimalsindia.org"&gt;local animal shelter programs&lt;/a&gt; to review ethical adoption alternatives in Kerala.&lt;/p&gt;&lt;h3&gt;Where can I locate nearby vet care for small breeds in Thrissur?&lt;/h3&gt;&lt;p&gt;Veterinary facilities near Patturaikkal and East Fort provide specialized health checks, vaccinations, and monsoon care routines tailored for toy breeds. If you witness unethical breeding or animal abuse in the area, report it through &lt;a href="https://www.petaindia.com"&gt;cruelty prevention channels&lt;/a&gt; immediately.&lt;/p&gt;&lt;h3&gt;Are Chihuahua puppies suitable for climate conditions and apartment life in Thrissur?&lt;/h3&gt;&lt;p&gt;Yes, Chihuahuas thrive in modern apartments near Sobha City Mall due to their compact size. Proper indoor climate control and routine grooming during humid monsoon periods help maintain their health and vitality.&lt;/p&gt;</v>
      </c>
    </row>
    <row r="48" spans="1:11" x14ac:dyDescent="0.25">
      <c r="A48" s="2" t="s">
        <v>372</v>
      </c>
      <c r="B48" s="2" t="s">
        <v>12</v>
      </c>
      <c r="C48" s="2" t="s">
        <v>373</v>
      </c>
      <c r="D48" s="2" t="s">
        <v>374</v>
      </c>
      <c r="E48" s="2" t="s">
        <v>373</v>
      </c>
      <c r="F48" s="2" t="s">
        <v>375</v>
      </c>
      <c r="G48" s="2" t="s">
        <v>376</v>
      </c>
      <c r="H48" s="2" t="s">
        <v>377</v>
      </c>
      <c r="I48" s="2" t="s">
        <v>378</v>
      </c>
      <c r="J48" s="2" t="str">
        <f ca="1">IFERROR(__xludf.DUMMYFUNCTION("AI(""Act as an expert copywriter and automotive maintenance specialist. Write a unique, 1-paragraph care guide and maintenance cost breakdown for "" &amp; A48 &amp; "" located in "" &amp; B48 &amp; "". Start the output directly with an HTML h2 heading containing the vehi"&amp;"cle/service name and location (e.g., &lt;h2&gt;"" &amp; A48 &amp; "" Care Guide and Maintenance Costs in "" &amp; B48 &amp; ""&lt;/h2&gt;). Follow the heading with exactly one detailed paragraph of expert-level advice covering preventive maintenance routines, common local wear-and-t"&amp;"ear factors specific to "" &amp; B48 &amp; "", and estimated servicing costs. Ensure the content is completely original, avoids generic filler, and contains no repeated phrasing or duplicate templates across rows."")"),"&lt;h2&gt;Chihuahua Puppies Care Guide and Maintenance Costs in Hyderabad&lt;/h2&gt;Caring for a Chihuahua puppy in Hyderabad requires a dedicated wellness strategy adapted to high-rise apartment living and the region's warm, dry microclimate. To support their high m"&amp;"etabolism and prevent hypoglycemia, provide nutrient-dense, small-breed puppy kibble, maintain consistent indoor climate control during intense summer heatwaves, and establish a daily oral hygiene routine to avoid early periodontal issues. Navigating urba"&amp;"n surroundings around HITEC City, Jubilee Hills, and Gachibowli exposes small pets to ambient dust, traffic noise, and high summer temperatures, making hydration monitoring, tick prevention, and brief evening walks near quieter residential pockets essenti"&amp;"al. On average, annual maintenance costs in Hyderabad range between ₹15,000 and ₹35,000, which accounts for premium toy-breed nutrition, routine veterinary consultations, core vaccinations, preventive deworming, and periodic grooming sessions.")</f>
        <v>&lt;h2&gt;Chihuahua Puppies Care Guide and Maintenance Costs in Hyderabad&lt;/h2&gt;Caring for a Chihuahua puppy in Hyderabad requires a dedicated wellness strategy adapted to high-rise apartment living and the region's warm, dry microclimate. To support their high metabolism and prevent hypoglycemia, provide nutrient-dense, small-breed puppy kibble, maintain consistent indoor climate control during intense summer heatwaves, and establish a daily oral hygiene routine to avoid early periodontal issues. Navigating urban surroundings around HITEC City, Jubilee Hills, and Gachibowli exposes small pets to ambient dust, traffic noise, and high summer temperatures, making hydration monitoring, tick prevention, and brief evening walks near quieter residential pockets essential. On average, annual maintenance costs in Hyderabad range between ₹15,000 and ₹35,000, which accounts for premium toy-breed nutrition, routine veterinary consultations, core vaccinations, preventive deworming, and periodic grooming sessions.</v>
      </c>
      <c r="K48" s="2" t="str">
        <f ca="1">IFERROR(__xludf.DUMMYFUNCTION("AI(""Write 3 unique FAQs in HTML format for "" &amp; A48 &amp; "" in "" &amp; B48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Hyderabad - FAQs&lt;/h2&gt;&lt;h3&gt;What GHMC pet licensing laws apply to Chihuahua owners in Hyderabad?&lt;/h3&gt;&lt;p&gt;Pet owners around Jubilee Hills, Banjara Hills, and Gachibowli must register their dogs annually with the Greater Hyderabad Munic"&amp;"ipal Corporation (GHMC), ensure microchip insertion, and maintain valid rabies vaccination records. Before purchasing, consider exploring &lt;a href=""https://www.peopleforanimalsindia.org""&gt;local adoption guidelines&lt;/a&gt; or rescue shelters near the Outer Rin"&amp;"g Road corridor.&lt;/p&gt;&lt;h3&gt;Where can I find reliable veterinary care for toy breeds in Hyderabad?&lt;/h3&gt;&lt;p&gt;Veterinary clinics operating near HITEC City and Jubilee Hills offer specialized care, dental checkups, and vaccination schedules suited for Chihuahuas. "&amp;"If you witness unethical breeding practices or animal mistreatment near commercial hubs, report it to &lt;a href=""https://www.petaindia.com""&gt;area-specific animal welfare organizations&lt;/a&gt; to protect pet safety.&lt;/p&gt;&lt;h3&gt;Are Chihuahua puppies suitable for hig"&amp;"h-rise apartment living in Hyderabad?&lt;/h3&gt;&lt;p&gt;Yes, Chihuahuas thrive in high-rise apartments across HITEC City and Gachibowli due to their compact size. Providing short indoor play sessions and controlled evening walks along quieter residential lanes helps"&amp;" them stay healthy while avoiding intense afternoon heatwaves.&lt;/p&gt;")</f>
        <v>&lt;h2&gt;Chihuahua Puppies in Hyderabad - FAQs&lt;/h2&gt;&lt;h3&gt;What GHMC pet licensing laws apply to Chihuahua owners in Hyderabad?&lt;/h3&gt;&lt;p&gt;Pet owners around Jubilee Hills, Banjara Hills, and Gachibowli must register their dogs annually with the Greater Hyderabad Municipal Corporation (GHMC), ensure microchip insertion, and maintain valid rabies vaccination records. Before purchasing, consider exploring &lt;a href="https://www.peopleforanimalsindia.org"&gt;local adoption guidelines&lt;/a&gt; or rescue shelters near the Outer Ring Road corridor.&lt;/p&gt;&lt;h3&gt;Where can I find reliable veterinary care for toy breeds in Hyderabad?&lt;/h3&gt;&lt;p&gt;Veterinary clinics operating near HITEC City and Jubilee Hills offer specialized care, dental checkups, and vaccination schedules suited for Chihuahuas. If you witness unethical breeding practices or animal mistreatment near commercial hubs, report it to &lt;a href="https://www.petaindia.com"&gt;area-specific animal welfare organizations&lt;/a&gt; to protect pet safety.&lt;/p&gt;&lt;h3&gt;Are Chihuahua puppies suitable for high-rise apartment living in Hyderabad?&lt;/h3&gt;&lt;p&gt;Yes, Chihuahuas thrive in high-rise apartments across HITEC City and Gachibowli due to their compact size. Providing short indoor play sessions and controlled evening walks along quieter residential lanes helps them stay healthy while avoiding intense afternoon heatwaves.&lt;/p&gt;</v>
      </c>
    </row>
    <row r="49" spans="1:11" x14ac:dyDescent="0.25">
      <c r="A49" s="2" t="s">
        <v>379</v>
      </c>
      <c r="B49" s="2" t="s">
        <v>12</v>
      </c>
      <c r="C49" s="2" t="s">
        <v>357</v>
      </c>
      <c r="D49" s="2" t="s">
        <v>380</v>
      </c>
      <c r="E49" s="2" t="s">
        <v>359</v>
      </c>
      <c r="F49" s="2" t="s">
        <v>381</v>
      </c>
      <c r="G49" s="2" t="s">
        <v>382</v>
      </c>
      <c r="H49" s="2" t="s">
        <v>383</v>
      </c>
      <c r="I49" s="2" t="s">
        <v>384</v>
      </c>
      <c r="J49" s="2" t="str">
        <f ca="1">IFERROR(__xludf.DUMMYFUNCTION("AI(""Act as an expert copywriter and automotive maintenance specialist. Write a unique, 1-paragraph care guide and maintenance cost breakdown for "" &amp; A49 &amp; "" located in "" &amp; B49 &amp; "". Start the output directly with an HTML h2 heading containing the vehi"&amp;"cle/service name and location (e.g., &lt;h2&gt;"" &amp; A49 &amp; "" Care Guide and Maintenance Costs in "" &amp; B49 &amp; ""&lt;/h2&gt;). Follow the heading with exactly one detailed paragraph of expert-level advice covering preventive maintenance routines, common local wear-and-t"&amp;"ear factors specific to "" &amp; B49 &amp; "", and estimated servicing costs. Ensure the content is completely original, avoids generic filler, and contains no repeated phrasing or duplicate templates across rows."")"),"&lt;h2&gt;Chihuahua Puppies Care Guide and Maintenance Costs in Wayanad, Kerala&lt;/h2&gt;Caring for a Chihuahua puppy in the scenic high ranges of Wayanad requires a structured wellness routine adapted to the region's cool climate and high-altitude humidity. To keep"&amp;" your toy companion thriving around Kalpetta, Sulthan Bathery, and Meppadi, prioritize high-protein nutrition formulated for small breeds, establish strict daily oral hygiene to prevent early dental disease, and provide warm fleece apparel to guard agains"&amp;"t chilly mountain drafts. Navigating damp estate trails and monsoon rainfall increases exposure to ectoparasites, ticks, and fungal skin irritation, making consistent anti-parasitic protection and careful coat drying essential. On average, annual maintena"&amp;"nce costs in Wayanad range from ₹15,000 to ₹35,000, covering premium small-kibble food, routine veterinary checkups, core vaccinations, deworming, and basic grooming supplies.")</f>
        <v>&lt;h2&gt;Chihuahua Puppies Care Guide and Maintenance Costs in Wayanad, Kerala&lt;/h2&gt;Caring for a Chihuahua puppy in the scenic high ranges of Wayanad requires a structured wellness routine adapted to the region's cool climate and high-altitude humidity. To keep your toy companion thriving around Kalpetta, Sulthan Bathery, and Meppadi, prioritize high-protein nutrition formulated for small breeds, establish strict daily oral hygiene to prevent early dental disease, and provide warm fleece apparel to guard against chilly mountain drafts. Navigating damp estate trails and monsoon rainfall increases exposure to ectoparasites, ticks, and fungal skin irritation, making consistent anti-parasitic protection and careful coat drying essential. On average, annual maintenance costs in Wayanad range from ₹15,000 to ₹35,000, covering premium small-kibble food, routine veterinary checkups, core vaccinations, deworming, and basic grooming supplies.</v>
      </c>
      <c r="K49" s="2" t="str">
        <f ca="1">IFERROR(__xludf.DUMMYFUNCTION("AI(""Write 3 unique FAQs in HTML format for "" &amp; A49 &amp; "" in "" &amp; B49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Wayanad, Kerala - FAQs&lt;/h2&gt;&lt;h3&gt;What local animal welfare laws and registration rules apply in Wayanad?&lt;/h3&gt;&lt;p&gt;Pet owners across Kalpetta and Sulthan Bathery must comply with local Panchayat and District Animal Husbandry department"&amp;" regulations, ensuring mandatory microchipping and valid anti-rabies immunizations. Prior to purchasing, consider reviewing ethical breeding standards or reaching out to &lt;a href=""https://www.peopleforanimalsindia.org""&gt;local pet rescue groups&lt;/a&gt; to expl"&amp;"ore rehoming options.&lt;/p&gt;&lt;h3&gt;How can I find reliable veterinary care for a Chihuahua puppy near Mananthavady or Meppadi?&lt;/h3&gt;&lt;p&gt;Veterinary centers along the Kozhikode-Mysore Highway corridor offer routine health checks, vaccinations, and advice on managin"&amp;"g high-altitude humidity for small breeds. If you encounter mistreatment or unethical breeding practices in the district, report the violation through &lt;a href=""https://www.petaindia.com""&gt;cruelty prevention channels&lt;/a&gt;.&lt;/p&gt;&lt;h3&gt;Are Chihuahuas suitable fo"&amp;"r the cool, damp climate of the Wayanad high ranges?&lt;/h3&gt;&lt;p&gt;Yes, but because of their minimal body fat, Chihuahuas need warm clothing during chilly mountain mornings and careful drying after damp walks near estate trails to avoid cold-induced respiratory "&amp;"issues.&lt;/p&gt;")</f>
        <v>&lt;h2&gt;Chihuahua Puppies in Wayanad, Kerala - FAQs&lt;/h2&gt;&lt;h3&gt;What local animal welfare laws and registration rules apply in Wayanad?&lt;/h3&gt;&lt;p&gt;Pet owners across Kalpetta and Sulthan Bathery must comply with local Panchayat and District Animal Husbandry department regulations, ensuring mandatory microchipping and valid anti-rabies immunizations. Prior to purchasing, consider reviewing ethical breeding standards or reaching out to &lt;a href="https://www.peopleforanimalsindia.org"&gt;local pet rescue groups&lt;/a&gt; to explore rehoming options.&lt;/p&gt;&lt;h3&gt;How can I find reliable veterinary care for a Chihuahua puppy near Mananthavady or Meppadi?&lt;/h3&gt;&lt;p&gt;Veterinary centers along the Kozhikode-Mysore Highway corridor offer routine health checks, vaccinations, and advice on managing high-altitude humidity for small breeds. If you encounter mistreatment or unethical breeding practices in the district, report the violation through &lt;a href="https://www.petaindia.com"&gt;cruelty prevention channels&lt;/a&gt;.&lt;/p&gt;&lt;h3&gt;Are Chihuahuas suitable for the cool, damp climate of the Wayanad high ranges?&lt;/h3&gt;&lt;p&gt;Yes, but because of their minimal body fat, Chihuahuas need warm clothing during chilly mountain mornings and careful drying after damp walks near estate trails to avoid cold-induced respiratory issues.&lt;/p&gt;</v>
      </c>
    </row>
    <row r="50" spans="1:11" x14ac:dyDescent="0.25">
      <c r="A50" s="2" t="s">
        <v>385</v>
      </c>
      <c r="B50" s="2" t="s">
        <v>12</v>
      </c>
      <c r="C50" s="2" t="s">
        <v>386</v>
      </c>
      <c r="D50" s="2" t="s">
        <v>387</v>
      </c>
      <c r="E50" s="2" t="s">
        <v>388</v>
      </c>
      <c r="F50" s="2" t="s">
        <v>389</v>
      </c>
      <c r="G50" s="2" t="s">
        <v>390</v>
      </c>
      <c r="H50" s="2" t="s">
        <v>391</v>
      </c>
      <c r="I50" s="2" t="s">
        <v>392</v>
      </c>
      <c r="J50" s="2" t="str">
        <f ca="1">IFERROR(__xludf.DUMMYFUNCTION("AI(""Act as an expert copywriter and automotive maintenance specialist. Write a unique, 1-paragraph care guide and maintenance cost breakdown for "" &amp; A50 &amp; "" located in "" &amp; B50 &amp; "". Start the output directly with an HTML h2 heading containing the vehi"&amp;"cle/service name and location (e.g., &lt;h2&gt;"" &amp; A50 &amp; "" Care Guide and Maintenance Costs in "" &amp; B50 &amp; ""&lt;/h2&gt;). Follow the heading with exactly one detailed paragraph of expert-level advice covering preventive maintenance routines, common local wear-and-t"&amp;"ear factors specific to "" &amp; B50 &amp; "", and estimated servicing costs. Ensure the content is completely original, avoids generic filler, and contains no repeated phrasing or duplicate templates across rows."")"),"&lt;h2&gt;Chihuahua Puppies Care Guide and Maintenance Costs in Jubilee Hills, Hyderabad&lt;/h2&gt;Caring for a Chihuahua puppy in upscale Jubilee Hills requires a dedicated care routine tailored for high-rise apartment living and warmer climate conditions. To foster"&amp;" optimal development around areas like Road No. 36 and KBR National Park, provide nutrient-rich toy-breed kibble, maintain routine oral hygiene to mitigate early dental crowding, and schedule brief, shaded evening walks to prevent heat stress. Navigating "&amp;"urban high-rise settings and local humidity demands consistent tick control, hydration monitoring, and indoor mental engagement. On average, annual maintenance costs in Jubilee Hills range from ₹18,000 to ₹40,000, which covers high-grade puppy nutrition, "&amp;"routine veterinary checkups, core vaccinations, deworming, and periodic professional grooming.")</f>
        <v>&lt;h2&gt;Chihuahua Puppies Care Guide and Maintenance Costs in Jubilee Hills, Hyderabad&lt;/h2&gt;Caring for a Chihuahua puppy in upscale Jubilee Hills requires a dedicated care routine tailored for high-rise apartment living and warmer climate conditions. To foster optimal development around areas like Road No. 36 and KBR National Park, provide nutrient-rich toy-breed kibble, maintain routine oral hygiene to mitigate early dental crowding, and schedule brief, shaded evening walks to prevent heat stress. Navigating urban high-rise settings and local humidity demands consistent tick control, hydration monitoring, and indoor mental engagement. On average, annual maintenance costs in Jubilee Hills range from ₹18,000 to ₹40,000, which covers high-grade puppy nutrition, routine veterinary checkups, core vaccinations, deworming, and periodic professional grooming.</v>
      </c>
      <c r="K50" s="2" t="str">
        <f ca="1">IFERROR(__xludf.DUMMYFUNCTION("AI(""Write 3 unique FAQs in HTML format for "" &amp; A50 &amp; "" in "" &amp; B50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Jubilee Hills, Hyderabad - FAQs&lt;/h2&gt;&lt;h3&gt;What GHMC licensing requirements apply to Chihuahua puppies in Jubilee Hills?&lt;/h3&gt;&lt;p&gt;Pet parents residing around Road No. 36 and Road No. 45 must secure a valid Greater Hyderabad Municipal C"&amp;"orporation (GHMC) pet permit, register microchip information, and ensure up-to-date rabies immunizations. Prospective owners are encouraged to review ethical breeding standards or contact &lt;a href=""https://www.peopleforanimalsindia.org""&gt;local rescue orga"&amp;"nizations&lt;/a&gt; to consider adoption options.&lt;/p&gt;&lt;h3&gt;Where can I find specialized veterinary care for toy breeds near Jubilee Hills?&lt;/h3&gt;&lt;p&gt;Veterinary facilities near Peddamma Gudi Metro Station and KBR National Park offer dedicated clinical care, pediatric"&amp;" immunizations, and routine health evaluations for small breeds. If you witness unethical breeding practices or animal abuse around upscale residential sectors, report the incident to &lt;a href=""https://www.petaindia.com""&gt;cruelty prevention representative"&amp;"s&lt;/a&gt; immediately.&lt;/p&gt;&lt;h3&gt;Are Chihuahua puppies suitable for high-rise apartment living in Jubilee Hills?&lt;/h3&gt;&lt;p&gt;Yes, Chihuahuas thrive in luxury high-rise apartments near Durgam Cheruvu Cable Bridge due to their compact size. Daily indoor mental stimulat"&amp;"ion along with short, shaded strolls near quiet neighborhood lanes keeps them healthy and energetic.&lt;/p&gt;")</f>
        <v>&lt;h2&gt;Chihuahua Puppies in Jubilee Hills, Hyderabad - FAQs&lt;/h2&gt;&lt;h3&gt;What GHMC licensing requirements apply to Chihuahua puppies in Jubilee Hills?&lt;/h3&gt;&lt;p&gt;Pet parents residing around Road No. 36 and Road No. 45 must secure a valid Greater Hyderabad Municipal Corporation (GHMC) pet permit, register microchip information, and ensure up-to-date rabies immunizations. Prospective owners are encouraged to review ethical breeding standards or contact &lt;a href="https://www.peopleforanimalsindia.org"&gt;local rescue organizations&lt;/a&gt; to consider adoption options.&lt;/p&gt;&lt;h3&gt;Where can I find specialized veterinary care for toy breeds near Jubilee Hills?&lt;/h3&gt;&lt;p&gt;Veterinary facilities near Peddamma Gudi Metro Station and KBR National Park offer dedicated clinical care, pediatric immunizations, and routine health evaluations for small breeds. If you witness unethical breeding practices or animal abuse around upscale residential sectors, report the incident to &lt;a href="https://www.petaindia.com"&gt;cruelty prevention representatives&lt;/a&gt; immediately.&lt;/p&gt;&lt;h3&gt;Are Chihuahua puppies suitable for high-rise apartment living in Jubilee Hills?&lt;/h3&gt;&lt;p&gt;Yes, Chihuahuas thrive in luxury high-rise apartments near Durgam Cheruvu Cable Bridge due to their compact size. Daily indoor mental stimulation along with short, shaded strolls near quiet neighborhood lanes keeps them healthy and energetic.&lt;/p&gt;</v>
      </c>
    </row>
    <row r="51" spans="1:11" x14ac:dyDescent="0.25">
      <c r="A51" s="2" t="s">
        <v>393</v>
      </c>
      <c r="B51" s="2" t="s">
        <v>12</v>
      </c>
      <c r="C51" s="2" t="s">
        <v>394</v>
      </c>
      <c r="D51" s="2" t="s">
        <v>395</v>
      </c>
      <c r="E51" s="2" t="s">
        <v>396</v>
      </c>
      <c r="F51" s="2" t="s">
        <v>397</v>
      </c>
      <c r="G51" s="2" t="s">
        <v>398</v>
      </c>
      <c r="H51" s="2" t="s">
        <v>399</v>
      </c>
      <c r="I51" s="2" t="s">
        <v>400</v>
      </c>
      <c r="J51" s="2" t="str">
        <f ca="1">IFERROR(__xludf.DUMMYFUNCTION("AI(""Act as an expert copywriter and automotive maintenance specialist. Write a unique, 1-paragraph care guide and maintenance cost breakdown for "" &amp; A51 &amp; "" located in "" &amp; B51 &amp; "". Start the output directly with an HTML h2 heading containing the vehi"&amp;"cle/service name and location (e.g., &lt;h2&gt;"" &amp; A51 &amp; "" Care Guide and Maintenance Costs in "" &amp; B51 &amp; ""&lt;/h2&gt;). Follow the heading with exactly one detailed paragraph of expert-level advice covering preventive maintenance routines, common local wear-and-t"&amp;"ear factors specific to "" &amp; B51 &amp; "", and estimated servicing costs. Ensure the content is completely original, avoids generic filler, and contains no repeated phrasing or duplicate templates across rows."")"),"&lt;h2&gt;Chihuahua Puppies Care Guide and Maintenance Costs in Banjara Hills, Hyderabad&lt;/h2&gt;Caring for a Chihuahua puppy in the prestigious enclave of Banjara Hills requires a dedicated wellness regimen adapted to Hyderabad's warm climate and high-rise urban l"&amp;"ifestyle. To support long-term health, provide high-protein nutrition formulated specifically for toy breeds, ensure reliable indoor climate control during hot summer months to prevent heat stress, and implement strict daily dental hygiene to guard agains"&amp;"t early periodontal disease. Managed outdoor exercise along quieter avenues near Road No. 12 or near Kasu Brahmananda Reddy National Park during cooler morning or evening hours provides vital mental stimulation while avoiding harsh pavement heat. On avera"&amp;"ge, annual upkeep and maintenance costs in Banjara Hills range between ₹18,000 and ₹40,000, encompassing premium toy-breed nutrition, routine veterinary checkups, core vaccinations, preventative parasite care, and periodic professional grooming.")</f>
        <v>&lt;h2&gt;Chihuahua Puppies Care Guide and Maintenance Costs in Banjara Hills, Hyderabad&lt;/h2&gt;Caring for a Chihuahua puppy in the prestigious enclave of Banjara Hills requires a dedicated wellness regimen adapted to Hyderabad's warm climate and high-rise urban lifestyle. To support long-term health, provide high-protein nutrition formulated specifically for toy breeds, ensure reliable indoor climate control during hot summer months to prevent heat stress, and implement strict daily dental hygiene to guard against early periodontal disease. Managed outdoor exercise along quieter avenues near Road No. 12 or near Kasu Brahmananda Reddy National Park during cooler morning or evening hours provides vital mental stimulation while avoiding harsh pavement heat. On average, annual upkeep and maintenance costs in Banjara Hills range between ₹18,000 and ₹40,000, encompassing premium toy-breed nutrition, routine veterinary checkups, core vaccinations, preventative parasite care, and periodic professional grooming.</v>
      </c>
      <c r="K51" s="2" t="str">
        <f ca="1">IFERROR(__xludf.DUMMYFUNCTION("AI(""Write 3 unique FAQs in HTML format for "" &amp; A51 &amp; "" in "" &amp; B51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Banjara Hills, Hyderabad - FAQs&lt;/h2&gt;&lt;h3&gt;What GHMC licensing and pet ownership laws apply in Banjara Hills?&lt;/h3&gt;&lt;p&gt;Pet owners near Road No. 1 and Road No. 12 must obtain a mandatory annual GHMC pet license, ensure microchip registr"&amp;"ation, and keep rabies immunizations up to date. Prospective parents are encouraged to consult &lt;a href=""https://www.peopleforanimalsindia.org""&gt;local pet rescue organizations&lt;/a&gt; to consider adoption before purchasing.&lt;/p&gt;&lt;h3&gt;Where can I locate specializ"&amp;"ed veterinary care for toy breeds in Banjara Hills?&lt;/h3&gt;&lt;p&gt;Veterinary clinics around Punjagutta and near Kasu Brahmananda Reddy National Park offer dedicated health evaluations, dental care, and vaccination protocols for small dogs. To report illegal bree"&amp;"ding practices or mistreatment in the area, reach out to &lt;a href=""https://www.petaindia.com""&gt;animal rights advocates&lt;/a&gt;.&lt;/p&gt;&lt;h3&gt;Are Chihuahua puppies suitable for high-rise apartment living near GVK One Mall?&lt;/h3&gt;&lt;p&gt;Yes, Chihuahuas thrive in apartment "&amp;"environments due to their compact size. Brief daily walks along quieter lanes near Road No. 10 combined with regular indoor exercise keep them mentally stimulated and physically fit.&lt;/p&gt;")</f>
        <v>&lt;h2&gt;Chihuahua Puppies in Banjara Hills, Hyderabad - FAQs&lt;/h2&gt;&lt;h3&gt;What GHMC licensing and pet ownership laws apply in Banjara Hills?&lt;/h3&gt;&lt;p&gt;Pet owners near Road No. 1 and Road No. 12 must obtain a mandatory annual GHMC pet license, ensure microchip registration, and keep rabies immunizations up to date. Prospective parents are encouraged to consult &lt;a href="https://www.peopleforanimalsindia.org"&gt;local pet rescue organizations&lt;/a&gt; to consider adoption before purchasing.&lt;/p&gt;&lt;h3&gt;Where can I locate specialized veterinary care for toy breeds in Banjara Hills?&lt;/h3&gt;&lt;p&gt;Veterinary clinics around Punjagutta and near Kasu Brahmananda Reddy National Park offer dedicated health evaluations, dental care, and vaccination protocols for small dogs. To report illegal breeding practices or mistreatment in the area, reach out to &lt;a href="https://www.petaindia.com"&gt;animal rights advocates&lt;/a&gt;.&lt;/p&gt;&lt;h3&gt;Are Chihuahua puppies suitable for high-rise apartment living near GVK One Mall?&lt;/h3&gt;&lt;p&gt;Yes, Chihuahuas thrive in apartment environments due to their compact size. Brief daily walks along quieter lanes near Road No. 10 combined with regular indoor exercise keep them mentally stimulated and physically fit.&lt;/p&gt;</v>
      </c>
    </row>
    <row r="52" spans="1:11" x14ac:dyDescent="0.25">
      <c r="A52" s="2" t="s">
        <v>401</v>
      </c>
      <c r="B52" s="2" t="s">
        <v>12</v>
      </c>
      <c r="C52" s="2" t="s">
        <v>402</v>
      </c>
      <c r="D52" s="2" t="s">
        <v>403</v>
      </c>
      <c r="E52" s="2" t="s">
        <v>404</v>
      </c>
      <c r="F52" s="2" t="s">
        <v>405</v>
      </c>
      <c r="G52" s="2" t="s">
        <v>406</v>
      </c>
      <c r="H52" s="2" t="s">
        <v>407</v>
      </c>
      <c r="I52" s="2" t="s">
        <v>408</v>
      </c>
      <c r="J52" s="2" t="str">
        <f ca="1">IFERROR(__xludf.DUMMYFUNCTION("AI(""Act as an expert copywriter and automotive maintenance specialist. Write a unique, 1-paragraph care guide and maintenance cost breakdown for "" &amp; A52 &amp; "" located in "" &amp; B52 &amp; "". Start the output directly with an HTML h2 heading containing the vehi"&amp;"cle/service name and location (e.g., &lt;h2&gt;"" &amp; A52 &amp; "" Care Guide and Maintenance Costs in "" &amp; B52 &amp; ""&lt;/h2&gt;). Follow the heading with exactly one detailed paragraph of expert-level advice covering preventive maintenance routines, common local wear-and-t"&amp;"ear factors specific to "" &amp; B52 &amp; "", and estimated servicing costs. Ensure the content is completely original, avoids generic filler, and contains no repeated phrasing or duplicate templates across rows."")"),"&lt;h2&gt;Chihuahua Puppies Care Guide and Maintenance Costs in HITEC City, Hyderabad&lt;/h2&gt;Caring for a Chihuahua puppy in Hyderabad's tech hub of HITEC City requires a dedicated wellness routine adapted to modern high-rise apartment living near Cyber Towers and"&amp;" Mindspace IT Park. To foster optimal development, provide high-quality nutrition specifically formulated for toy breeds, maintain daily oral hygiene habits to prevent early dental issues, and balance indoor play with short, controlled walks around quiete"&amp;"r spots near Durgam Cheruvu. Navigating warm local temperatures and dense urban surroundings highlights the need for indoor climate control, tick prevention, and routine grooming. On average, annual maintenance costs in HITEC City range from ₹15,000 to ₹3"&amp;"5,000, covering premium diet supplies, routine veterinary care, core vaccinations, deworming, and periodic professional grooming services.")</f>
        <v>&lt;h2&gt;Chihuahua Puppies Care Guide and Maintenance Costs in HITEC City, Hyderabad&lt;/h2&gt;Caring for a Chihuahua puppy in Hyderabad's tech hub of HITEC City requires a dedicated wellness routine adapted to modern high-rise apartment living near Cyber Towers and Mindspace IT Park. To foster optimal development, provide high-quality nutrition specifically formulated for toy breeds, maintain daily oral hygiene habits to prevent early dental issues, and balance indoor play with short, controlled walks around quieter spots near Durgam Cheruvu. Navigating warm local temperatures and dense urban surroundings highlights the need for indoor climate control, tick prevention, and routine grooming. On average, annual maintenance costs in HITEC City range from ₹15,000 to ₹35,000, covering premium diet supplies, routine veterinary care, core vaccinations, deworming, and periodic professional grooming services.</v>
      </c>
      <c r="K52" s="2" t="str">
        <f ca="1">IFERROR(__xludf.DUMMYFUNCTION("AI(""Write 3 unique FAQs in HTML format for "" &amp; A52 &amp; "" in "" &amp; B52 &amp; "". 
Requirements:
1. Start the output with an &lt;h2&gt; heading containing the location and topic.
2. Incorporate semantic and hyperlocal keywords naturally (e.g., local adoption guidelin"&amp;"es, area-specific animal welfare laws, nearby vet care).
3. Embed HTML anchor text links pointing strictly to https://www.peopleforanimalsindia.org on animal welfare/rescue keywords and https://www.petaindia.com on animal rights/cruelty reporting keywords"&amp;". Do not reuse the same link anchor text.
4. Ensure absolute uniqueness: do not use generic filler sentences, repeated phrasing, or duplicate structures across rows. 
5. Output valid HTML code only (using &lt;h3&gt; for questions and &lt;p&gt; for answers)."")"),"&lt;h2&gt;Chihuahua Puppies in HITEC City, Hyderabad - FAQs&lt;/h2&gt;&lt;h3&gt;What GHMC pet licensing rules apply to Chihuahua owners in HITEC City?&lt;/h3&gt;&lt;p&gt;Pet parents residing near Cyber Towers and Mindspace IT Park must register their dogs with the Greater Hyderabad Mu"&amp;"nicipal Corporation (GHMC) and keep rabies vaccinations current. Before purchasing, consider evaluating ethical breeders or consulting &lt;a href=""https://www.peopleforanimalsindia.org""&gt;rescue group networks&lt;/a&gt; for local adoption possibilities.&lt;/p&gt;&lt;h3&gt;Whe"&amp;"re can I locate nearby vet care for small breeds in HITEC City?&lt;/h3&gt;&lt;p&gt;Veterinary centers located near Durgam Cheruvu and Raheja Mindspace offer specialized care, vaccinations, and routine health checks for toy dogs. If you encounter illegal breeding prac"&amp;"tices or animal mistreatment around the IT corridor, contact &lt;a href=""https://www.petaindia.com""&gt;cruelty prevention organizations&lt;/a&gt; to lodge an official report.&lt;/p&gt;&lt;h3&gt;Are Chihuahua puppies suitable for high-rise apartment living in HITEC City?&lt;/h3&gt;&lt;p"&amp;"&gt;Yes, Chihuahuas thrive in luxury apartments around Inorbit Mall due to their compact size. Engaging them in regular indoor activity and short, peaceful walks around quiet neighborhood precincts keeps them active and content.&lt;/p&gt;")</f>
        <v>&lt;h2&gt;Chihuahua Puppies in HITEC City, Hyderabad - FAQs&lt;/h2&gt;&lt;h3&gt;What GHMC pet licensing rules apply to Chihuahua owners in HITEC City?&lt;/h3&gt;&lt;p&gt;Pet parents residing near Cyber Towers and Mindspace IT Park must register their dogs with the Greater Hyderabad Municipal Corporation (GHMC) and keep rabies vaccinations current. Before purchasing, consider evaluating ethical breeders or consulting &lt;a href="https://www.peopleforanimalsindia.org"&gt;rescue group networks&lt;/a&gt; for local adoption possibilities.&lt;/p&gt;&lt;h3&gt;Where can I locate nearby vet care for small breeds in HITEC City?&lt;/h3&gt;&lt;p&gt;Veterinary centers located near Durgam Cheruvu and Raheja Mindspace offer specialized care, vaccinations, and routine health checks for toy dogs. If you encounter illegal breeding practices or animal mistreatment around the IT corridor, contact &lt;a href="https://www.petaindia.com"&gt;cruelty prevention organizations&lt;/a&gt; to lodge an official report.&lt;/p&gt;&lt;h3&gt;Are Chihuahua puppies suitable for high-rise apartment living in HITEC City?&lt;/h3&gt;&lt;p&gt;Yes, Chihuahuas thrive in luxury apartments around Inorbit Mall due to their compact size. Engaging them in regular indoor activity and short, peaceful walks around quiet neighborhood precincts keeps them active and content.&lt;/p&gt;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Venkatachalam</cp:lastModifiedBy>
  <dcterms:modified xsi:type="dcterms:W3CDTF">2026-09-23T09:15:23Z</dcterms:modified>
</cp:coreProperties>
</file>