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<sst xmlns="http://schemas.openxmlformats.org/spreadsheetml/2006/main" count="50" uniqueCount="32">
  <si>
    <t>Topics</t>
  </si>
  <si>
    <t>categories</t>
  </si>
  <si>
    <t>title</t>
  </si>
  <si>
    <t>meta desc</t>
  </si>
  <si>
    <t>h1</t>
  </si>
  <si>
    <t>intro</t>
  </si>
  <si>
    <t>insurance plans</t>
  </si>
  <si>
    <t>insurance providers</t>
  </si>
  <si>
    <t>premium amount and renewals</t>
  </si>
  <si>
    <t>coverage inclusions and exclusions</t>
  </si>
  <si>
    <t>mandatory prerequisites</t>
  </si>
  <si>
    <t>FAQ</t>
  </si>
  <si>
    <t>pet insurance</t>
  </si>
  <si>
    <t>dogs</t>
  </si>
  <si>
    <t>cats</t>
  </si>
  <si>
    <t>older dogs</t>
  </si>
  <si>
    <t>pre existing conditions</t>
  </si>
  <si>
    <t>for accidents</t>
  </si>
  <si>
    <t>birds</t>
  </si>
  <si>
    <t>covers everything</t>
  </si>
  <si>
    <t>exotic pets</t>
  </si>
  <si>
    <t>fish</t>
  </si>
  <si>
    <t>golden retriever</t>
  </si>
  <si>
    <t>german shepherd</t>
  </si>
  <si>
    <t>kennels</t>
  </si>
  <si>
    <t>multiple pets</t>
  </si>
  <si>
    <t>for surgery</t>
  </si>
  <si>
    <t>labrador</t>
  </si>
  <si>
    <t>unvaccinated dogs</t>
  </si>
  <si>
    <t>unvaccinated  cats</t>
  </si>
  <si>
    <t>vet bills</t>
  </si>
  <si>
    <t>young dogs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</si>
</sst>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7.25"/>
    <col customWidth="1" min="7" max="7" width="14.38"/>
    <col customWidth="1" min="8" max="8" width="17.25"/>
    <col customWidth="1" min="9" max="9" width="15.0"/>
    <col customWidth="1" min="10" max="10" width="27.0"/>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c r="A2" s="3" t="s">
        <v>12</v>
      </c>
      <c r="B2" s="3" t="s">
        <v>13</v>
      </c>
      <c r="C2" s="4" t="str">
        <f>IFERROR(__xludf.DUMMYFUNCTION("AI(""Act as an expert programmatic SEO copywriter. Write a unique, compelling SEO page title in the third-person tone for "" &amp; A2 &amp; "" in "" &amp; B2 &amp; "", ensuring no duplicate phrasings, filler words, or repetitive structural patterns across entries."")"),"Comprehensive Dog Pet Insurance: Plans, Coverage &amp; Costs")</f>
        <v>Comprehensive Dog Pet Insurance: Plans, Coverage &amp; Costs</v>
      </c>
      <c r="D2" s="4" t="str">
        <f>IFERROR(__xludf.DUMMYFUNCTION("AI(""Write a unique, third-person SEO meta description under 155 characters for a directory listing named "" &amp; A2 &amp; "" located in "" &amp; B2 &amp; "", highlighting its key offerings and local value proposition without using generic filler or duplicate phrasing."&amp;""")"),"Explore comprehensive dog pet insurance in India. Compare plans covering vet bills, surgeries, and emergency care to protect your dog's health.")</f>
        <v>Explore comprehensive dog pet insurance in India. Compare plans covering vet bills, surgeries, and emergency care to protect your dog's health.</v>
      </c>
      <c r="E2" s="4" t="str">
        <f>IFERROR(__xludf.DUMMYFUNCTION("AI(""Write a unique and compelling third-person H1 tag for "" &amp; A2 &amp; "" in "" &amp; B2 &amp; "", ensuring no generic or duplicate phrasing across rows, using distinct modifiers based on local search intent, and keeping it under 65 characters."")"),"Best Dog Insurance Plans in India for Complete Canine Care")</f>
        <v>Best Dog Insurance Plans in India for Complete Canine Care</v>
      </c>
      <c r="F2" s="4" t="str">
        <f>IFERROR(__xludf.DUMMYFUNCTION("AI(""Write a unique, third-person introductory overview for row "" &amp; A2 &amp; "" in the "" &amp; B2 &amp; "" directory, highlighting its specific local distinctiveness, notable neighborhood context, and key destination appeal without using repetitive phrasing, generi"&amp;"c templates, or cliché marketing filler."")"),"Pet insurance for dogs provides essential financial protection for canine owners, covering unexpected veterinary costs, accident care, routine wellness checks, and specialized treatments. Securing dedicated coverage ensures dog owners can manage medical e"&amp;"mergencies and long-term health needs while safeguarding their pet's overall well-being.")</f>
        <v>Pet insurance for dogs provides essential financial protection for canine owners, covering unexpected veterinary costs, accident care, routine wellness checks, and specialized treatments. Securing dedicated coverage ensures dog owners can manage medical emergencies and long-term health needs while safeguarding their pet's overall well-being.</v>
      </c>
      <c r="G2"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phrases."")"),"&lt;h2&gt;Comprehensive Dog Coverage under Pet Insurance&lt;/h2&gt;&lt;p&gt;Designed specifically for dog owners across India, this pet insurance plan offers robust financial safeguards against high veterinary costs. It assists pet parents in managing expenses for critical"&amp;" surgeries, emergency care, accident treatments, and routine health checks, ensuring that canine companions receive quality medical attention at top veterinary clinics nationwide.&lt;/p&gt;")</f>
        <v>&lt;h2&gt;Comprehensive Dog Coverage under Pet Insurance&lt;/h2&gt;&lt;p&gt;Designed specifically for dog owners across India, this pet insurance plan offers robust financial safeguards against high veterinary costs. It assists pet parents in managing expenses for critical surgeries, emergency care, accident treatments, and routine health checks, ensuring that canine companions receive quality medical attention at top veterinary clinics nationwide.&lt;/p&gt;</v>
      </c>
      <c r="H2"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provider."")"),"&lt;h2&gt;Pet Insurance for Dogs by Bajaj Allianz&lt;/h2&gt;&lt;p&gt;Bajaj Allianz General Insurance offers comprehensive healthcare plans tailored specifically for dogs across India, protecting canine companions against steep veterinary costs, emergency operations, accide"&amp;"ntal injuries, and third-party liabilities. Pet parents can easily secure reliable financial protection to manage lifelong wellness needs and critical treatments at accredited clinics nationwide; discover further policy details directly on the official &lt;a"&amp;" href=""https://www.bajajallianz.com""&gt;Bajaj Allianz website&lt;/a&gt;.&lt;/p&gt;")</f>
        <v>&lt;h2&gt;Pet Insurance for Dogs by Bajaj Allianz&lt;/h2&gt;&lt;p&gt;Bajaj Allianz General Insurance offers comprehensive healthcare plans tailored specifically for dogs across India, protecting canine companions against steep veterinary costs, emergency operations, accidental injuries, and third-party liabilities. Pet parents can easily secure reliable financial protection to manage lifelong wellness needs and critical treatments at accredited clinics nationwide; discover further policy details directly on the official &lt;a href="https://www.bajajallianz.com"&gt;Bajaj Allianz website&lt;/a&gt;.&lt;/p&gt;</v>
      </c>
      <c r="I2"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context."")"),"&lt;h2&gt;Pet Insurance Premiums and Renewals for Dogs&lt;/h2&gt;&lt;p&gt;Pet insurance premium amounts for dogs in India are determined by factors such as age, breed, sum insured, and selected add-on covers. Timely annual renewal is essential to maintain continuous covera"&amp;"ge, avoid policy lapse, and retain cumulative No Claim Bonus benefits accrued over policy years.&lt;/p&gt;| Policy Feature           | Details                               |
| :----------------------- | :------------------------------------ |
| Sum Insured Ran"&amp;"ge        | ₹15,000 - ₹5,000,000                  |
| Estimated Annual Premium | ₹3,000 - ₹15,000                      |
| Policy Tenure            | 1 Year (Renewable annually)           |
| Grace Period             | 30 days from expiry                 "&amp;"  |
| No Claim Bonus (NCB)     | 5% to 20% discount on premium renewal |")</f>
        <v>&lt;h2&gt;Pet Insurance Premiums and Renewals for Dogs&lt;/h2&gt;&lt;p&gt;Pet insurance premium amounts for dogs in India are determined by factors such as age, breed, sum insured, and selected add-on covers. Timely annual renewal is essential to maintain continuous coverage, avoid policy lapse, and retain cumulative No Claim Bonus benefits accrued over policy years.&lt;/p&gt;| Policy Feature           | Details                               |
| :----------------------- | :------------------------------------ |
| Sum Insured Range        | ₹15,000 - ₹5,000,000                  |
| Estimated Annual Premium | ₹3,000 - ₹15,000                      |
| Policy Tenure            | 1 Year (Renewable annually)           |
| Grace Period             | 30 days from expiry                   |
| No Claim Bonus (NCB)     | 5% to 20% discount on premium renewal |</v>
      </c>
      <c r="J2"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:---------------------------"&amp;"------------------------------------ |
| Accidental Injury &amp; Hospitalization        | Covered up to the base sum insured limits                        |
| Hereditary and Genetic Conditions          | Included after completing initial waiting periods      "&amp;"          |
| Pre-Existing Medical Issues                | Excluded from standard base policies                             |
| Third-Party Legal Liability                | Standard inclusion for personal injury or property damage claims |
| Outpatient (O"&amp;"PD) Consultations             | Optional rider coverage subject to annual cap limits             |
| Routine Vaccinations &amp; Cosmetic Procedures | Excluded under regular healthcare provisions                     |
| Major Surgical Care &amp; Anesthesia        "&amp;"   | Fully covered for non-elective medical emergencies               |")</f>
        <v>&lt;h2&gt;Pet Insurance Coverage Inclusions and Exclusions in India&lt;/h2&gt;| Policy Component                           | Coverage Status &amp; Terms                                          |
| :----------------------------------------- | :--------------------------------------------------------------- |
| Accidental Injury &amp; Hospitalization        | Covered up to the base sum insured limits                        |
| Hereditary and Genetic Conditions          | Included after completing initial waiting periods                |
| Pre-Existing Medical Issues                | Excluded from standard base policies                             |
| Third-Party Legal Liability                | Standard inclusion for personal injury or property damage claims |
| Outpatient (OPD) Consultations             | Optional rider coverage subject to annual cap limits             |
| Routine Vaccinations &amp; Cosmetic Procedures | Excluded under regular healthcare provisions                     |
| Major Surgical Care &amp; Anesthesia           | Fully covered for non-elective medical emergencies               |</v>
      </c>
      <c r="K2"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A2 &amp; "") and its corresponding compliance specification in Column B ("" &amp; B2 &amp; ""), ensuring all descriptions remain entirely distinct without overlapping terminology."")"),"&lt;h2&gt;Mandatory Prerequisites for Dog Insurance in India&lt;/h2&gt;&lt;ul&gt;&lt;li&gt;Microchip identification or official tag registration for precise canine tracking&lt;/li&gt;&lt;li&gt;Up-to-date core vaccination certificates signed by a licensed veterinary practitioner&lt;/li&gt;&lt;li&gt;Age "&amp;"eligibility compliance, typically spanning from 8 weeks to 8 years at policy inception&lt;/li&gt;&lt;li&gt;Comprehensive health evaluation report confirming pre-policy fitness and physical condition&lt;/li&gt;&lt;/ul&gt;")</f>
        <v>&lt;h2&gt;Mandatory Prerequisites for Dog Insurance in India&lt;/h2&gt;&lt;ul&gt;&lt;li&gt;Microchip identification or official tag registration for precise canine tracking&lt;/li&gt;&lt;li&gt;Up-to-date core vaccination certificates signed by a licensed veterinary practitioner&lt;/li&gt;&lt;li&gt;Age eligibility compliance, typically spanning from 8 weeks to 8 years at policy inception&lt;/li&gt;&lt;li&gt;Comprehensive health evaluation report confirming pre-policy fitness and physical condition&lt;/li&gt;&lt;/ul&gt;</v>
      </c>
      <c r="L2"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Pet Insurance for Dogs in India&lt;/h2&gt; What does pet insurance for dogs in India typically cover? Pet insurance for dogs generally covers accidental injuries, emergency surgical care, hospitalization, and third-party lia"&amp;"bility, while pre-existing conditions and routine cosmetic care are excluded. How is the premium for dog pet insurance calculated in India? Premiums for dog insurance policies depend on factors such as the dog's age, breed, chosen sum insured, and optiona"&amp;"l riders, with policyholders earning No Claim Bonus discounts upon timely renewal. What prerequisites are required to secure pet insurance for dogs in India? Dog owners must provide valid microchip or tag identification, up-to-date core vaccination certif"&amp;"icates, and a veterinary health evaluation report confirming the dog's physical fitness.")</f>
        <v>&lt;h2&gt;Frequently Asked Questions About Pet Insurance for Dogs in India&lt;/h2&gt; What does pet insurance for dogs in India typically cover? Pet insurance for dogs generally covers accidental injuries, emergency surgical care, hospitalization, and third-party liability, while pre-existing conditions and routine cosmetic care are excluded. How is the premium for dog pet insurance calculated in India? Premiums for dog insurance policies depend on factors such as the dog's age, breed, chosen sum insured, and optional riders, with policyholders earning No Claim Bonus discounts upon timely renewal. What prerequisites are required to secure pet insurance for dogs in India? Dog owners must provide valid microchip or tag identification, up-to-date core vaccination certificates, and a veterinary health evaluation report confirming the dog's physical fitness.</v>
      </c>
    </row>
    <row r="3">
      <c r="A3" s="3" t="s">
        <v>12</v>
      </c>
      <c r="B3" s="3" t="s">
        <v>14</v>
      </c>
      <c r="C3" s="4" t="str">
        <f>IFERROR(__xludf.DUMMYFUNCTION("AI(""Act as an expert programmatic SEO copywriter. Write a unique, compelling SEO page title in the third-person tone for "" &amp; A3 &amp; "" in "" &amp; B3 &amp; "", ensuring no duplicate phrasings, filler words, or repetitive structural patterns across entries."")"),"Cat Insurance Plans: Comprehensive Feline Coverage &amp; Costs")</f>
        <v>Cat Insurance Plans: Comprehensive Feline Coverage &amp; Costs</v>
      </c>
      <c r="D3" s="4" t="str">
        <f>IFERROR(__xludf.DUMMYFUNCTION("AI(""Write a unique, third-person SEO meta description under 155 characters for a directory listing named "" &amp; A3 &amp; "" located in "" &amp; B3 &amp; "", highlighting its key offerings and local value proposition without using generic filler or duplicate phrasing."&amp;""")"),"Discover cat insurance plans in India. Compare coverage for vet bills, surgeries, and emergency care to protect feline health and well-being.")</f>
        <v>Discover cat insurance plans in India. Compare coverage for vet bills, surgeries, and emergency care to protect feline health and well-being.</v>
      </c>
      <c r="E3" s="4" t="str">
        <f>IFERROR(__xludf.DUMMYFUNCTION("AI(""Write a unique and compelling third-person H1 tag for "" &amp; A3 &amp; "" in "" &amp; B3 &amp; "", ensuring no generic or duplicate phrasing across rows, using distinct modifiers based on local search intent, and keeping it under 65 characters."")"),"Best Cat Insurance Plans in India for Complete Feline Care")</f>
        <v>Best Cat Insurance Plans in India for Complete Feline Care</v>
      </c>
      <c r="F3" s="4" t="str">
        <f>IFERROR(__xludf.DUMMYFUNCTION("AI(""Write a unique, third-person introductory overview for row "" &amp; A3 &amp; "" in the "" &amp; B3 &amp; "" directory, highlighting its specific local distinctiveness, notable neighborhood context, and key destination appeal without using repetitive phrasing, generi"&amp;"c templates, or cliché marketing filler."")"),"Pet insurance for cats offers essential financial support for feline owners, helping manage unexpected veterinary expenses, emergency care, routine checkups, and specialized treatments. Having a dedicated policy allows cat owners to handle sudden illnesse"&amp;"s and ongoing medical requirements with peace of mind, ensuring the long-term health and comfort of their pets.")</f>
        <v>Pet insurance for cats offers essential financial support for feline owners, helping manage unexpected veterinary expenses, emergency care, routine checkups, and specialized treatments. Having a dedicated policy allows cat owners to handle sudden illnesses and ongoing medical requirements with peace of mind, ensuring the long-term health and comfort of their pets.</v>
      </c>
      <c r="G3"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phrases."")"),"&lt;h2&gt;Cat Health Care Coverage under Pet Insurance&lt;/h2&gt;&lt;p&gt;Tailored specifically for feline companions across India, cat insurance plans provide essential financial protection against unexpected medical bills, feline illnesses, emergency surgeries, and routi"&amp;"ne care. These policy options empower cat owners to secure reliable veterinary care at leading clinics nationwide without financial strain.&lt;/p&gt;")</f>
        <v>&lt;h2&gt;Cat Health Care Coverage under Pet Insurance&lt;/h2&gt;&lt;p&gt;Tailored specifically for feline companions across India, cat insurance plans provide essential financial protection against unexpected medical bills, feline illnesses, emergency surgeries, and routine care. These policy options empower cat owners to secure reliable veterinary care at leading clinics nationwide without financial strain.&lt;/p&gt;</v>
      </c>
      <c r="H3"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provider."")"),"&lt;h2&gt;Cat Insurance Coverage by HDFC ERGO&lt;/h2&gt;&lt;p&gt;HDFC ERGO General Insurance provides specialized health protection for feline companions across India, shielding cat owners against costly veterinary treatments, emergency surgeries, and routine consultations"&amp;". Feline guardians can effortlessly secure dependable financial support to ensure their pets receive quality care at accredited clinics nationwide; find complete policy details directly on the official &lt;a href=""https://www.hdfcergo.com""&gt;HDFC ERGO websit"&amp;"e&lt;/a&gt;.&lt;/p&gt;")</f>
        <v>&lt;h2&gt;Cat Insurance Coverage by HDFC ERGO&lt;/h2&gt;&lt;p&gt;HDFC ERGO General Insurance provides specialized health protection for feline companions across India, shielding cat owners against costly veterinary treatments, emergency surgeries, and routine consultations. Feline guardians can effortlessly secure dependable financial support to ensure their pets receive quality care at accredited clinics nationwide; find complete policy details directly on the official &lt;a href="https://www.hdfcergo.com"&gt;HDFC ERGO website&lt;/a&gt;.&lt;/p&gt;</v>
      </c>
      <c r="I3"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context."")"),"&lt;h2&gt;Cat Insurance Premiums and Renewals&lt;/h2&gt;&lt;p&gt;Pet insurance premium amounts for cats in India depend on age, breed, chosen sum insured, and optional add-on covers. Prompt annual renewal ensures uninterrupted financial protection against unexpected feline"&amp;" medical expenses while preserving accumulated No Claim Bonus discounts.&lt;/p&gt;| Policy Feature | Details |
| :----------------------- | :------------------------------------ |
| Sum Insured Range | ₹10,000 - ₹3,000,000 |
| Estimated Annual Premium | ₹2,000 "&amp;"- ₹10,000 |
| Policy Tenure | 1 Year (Renewable annually) |
| Grace Period | 30 days from expiry |
| No Claim Bonus (NCB) | 5% to 20% discount on renewal |")</f>
        <v>&lt;h2&gt;Cat Insurance Premiums and Renewals&lt;/h2&gt;&lt;p&gt;Pet insurance premium amounts for cats in India depend on age, breed, chosen sum insured, and optional add-on covers. Prompt annual renewal ensures uninterrupted financial protection against unexpected feline medical expenses while preserving accumulated No Claim Bonus discounts.&lt;/p&gt;| Policy Feature | Details |
| :----------------------- | :------------------------------------ |
| Sum Insured Range | ₹10,000 - ₹3,000,000 |
| Estimated Annual Premium | ₹2,000 - ₹10,000 |
| Policy Tenure | 1 Year (Renewable annually) |
| Grace Period | 30 days from expiry |
| No Claim Bonus (NCB) | 5% to 20% discount on renewal |</v>
      </c>
      <c r="J3"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Feline Accidental Injury &amp;"&amp;" Hospitalization | Covered up to base sum insured limits |
| Hereditary and Genetic Conditions | Included after standard initial waiting periods |
| Pre-Existing Medical Issues | Excluded from basic feline healthcare policies |
| Third-Party Legal Liabili"&amp;"ty | Covered for property damage or physical injury caused by cats |
| Outpatient (OPD) Consultations | Available as optional rider subject to annual sub-limits |
| Routine Grooming &amp; Elective Surgery | Excluded under standard policy provisions |
| Emerge"&amp;"ncy Surgery &amp; Diagnostics | Fully covered for non-elective medical events |")</f>
        <v>&lt;h2&gt;Pet Insurance Coverage Inclusions and Exclusions in India&lt;/h2&gt;| Policy Component | Coverage Status &amp; Terms |
| :----------------------------------------- | :--------------------------------------------------------------- |
| Feline Accidental Injury &amp; Hospitalization | Covered up to base sum insured limits |
| Hereditary and Genetic Conditions | Included after standard initial waiting periods |
| Pre-Existing Medical Issues | Excluded from basic feline healthcare policies |
| Third-Party Legal Liability | Covered for property damage or physical injury caused by cats |
| Outpatient (OPD) Consultations | Available as optional rider subject to annual sub-limits |
| Routine Grooming &amp; Elective Surgery | Excluded under standard policy provisions |
| Emergency Surgery &amp; Diagnostics | Fully covered for non-elective medical events |</v>
      </c>
      <c r="K3"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A3 &amp; "") and its corresponding compliance specification in Column B ("" &amp; B3 &amp; ""), ensuring all descriptions remain entirely distinct without overlapping terminology."")"),"&lt;h2&gt;Mandatory Prerequisites for Cat Insurance in India&lt;/h2&gt;&lt;ul&gt;&lt;li&gt;Permanent microchip placement or registered identification collar tag for precise feline verification&lt;/li&gt;&lt;li&gt;Up-to-date feline core vaccination records verified and signed by a registered"&amp;" veterinarian&lt;/li&gt;&lt;li&gt;Compliance with standard feline age limits, usually between 8 weeks and 10 years at enrollment&lt;/li&gt;&lt;li&gt;Pre-policy health checkup documentation confirming the absence of severe active conditions&lt;/li&gt;&lt;/ul&gt;")</f>
        <v>&lt;h2&gt;Mandatory Prerequisites for Cat Insurance in India&lt;/h2&gt;&lt;ul&gt;&lt;li&gt;Permanent microchip placement or registered identification collar tag for precise feline verification&lt;/li&gt;&lt;li&gt;Up-to-date feline core vaccination records verified and signed by a registered veterinarian&lt;/li&gt;&lt;li&gt;Compliance with standard feline age limits, usually between 8 weeks and 10 years at enrollment&lt;/li&gt;&lt;li&gt;Pre-policy health checkup documentation confirming the absence of severe active conditions&lt;/li&gt;&lt;/ul&gt;</v>
      </c>
      <c r="L3"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Cat Insurance in India&lt;/h2&gt; What coverage options are available under cat insurance in India? Cat insurance plans in India typically cover accidental injuries, feline illnesses, emergency surgeries, and third-party leg"&amp;"al liability, while excluding routine grooming and pre-existing conditions. How are cat insurance premium amounts calculated? Annual premiums depend on the feline's age, breed, chosen sum insured, and optional riders, with discounts applied for continuous"&amp;" renewals without claims. What requirements must cat owners fulfill before enrolling in a policy? Owners must provide official microchip or tag identification, certified vaccination records, and a veterinary health checkup confirming the absence of severe"&amp;" active conditions.")</f>
        <v>&lt;h2&gt;Frequently Asked Questions About Cat Insurance in India&lt;/h2&gt; What coverage options are available under cat insurance in India? Cat insurance plans in India typically cover accidental injuries, feline illnesses, emergency surgeries, and third-party legal liability, while excluding routine grooming and pre-existing conditions. How are cat insurance premium amounts calculated? Annual premiums depend on the feline's age, breed, chosen sum insured, and optional riders, with discounts applied for continuous renewals without claims. What requirements must cat owners fulfill before enrolling in a policy? Owners must provide official microchip or tag identification, certified vaccination records, and a veterinary health checkup confirming the absence of severe active conditions.</v>
      </c>
    </row>
    <row r="4">
      <c r="A4" s="3" t="s">
        <v>12</v>
      </c>
      <c r="B4" s="3" t="s">
        <v>15</v>
      </c>
      <c r="C4" s="4" t="str">
        <f>IFERROR(__xludf.DUMMYFUNCTION("AI(""Act as an expert programmatic SEO copywriter. Write a unique, compelling SEO page title in the third-person tone for "" &amp; A4 &amp; "" in "" &amp; B4 &amp; "", ensuring no duplicate phrasings, filler words, or repetitive structural patterns across entries."")"),"Senior Dog Pet Insurance: Coverage, Premiums &amp; Health Plans")</f>
        <v>Senior Dog Pet Insurance: Coverage, Premiums &amp; Health Plans</v>
      </c>
      <c r="D4" s="4" t="str">
        <f>IFERROR(__xludf.DUMMYFUNCTION("AI(""Write a unique, third-person SEO meta description under 155 characters for a directory listing named "" &amp; A4 &amp; "" located in "" &amp; B4 &amp; "", highlighting its key offerings and local value proposition without using generic filler or duplicate phrasing."&amp;""")"),"Explore senior dog pet insurance options in India. Compare plans covering chronic age-related conditions, emergency surgery, and specialized vet care.")</f>
        <v>Explore senior dog pet insurance options in India. Compare plans covering chronic age-related conditions, emergency surgery, and specialized vet care.</v>
      </c>
      <c r="E4" s="4" t="str">
        <f>IFERROR(__xludf.DUMMYFUNCTION("AI(""Write a unique and compelling third-person H1 tag for "" &amp; A4 &amp; "" in "" &amp; B4 &amp; "", ensuring no generic or duplicate phrasing across rows, using distinct modifiers based on local search intent, and keeping it under 65 characters."")"),"Senior Dog Insurance Plans in India for Aging Canines")</f>
        <v>Senior Dog Insurance Plans in India for Aging Canines</v>
      </c>
      <c r="F4" s="4" t="str">
        <f>IFERROR(__xludf.DUMMYFUNCTION("AI(""Write a unique, third-person introductory overview for row "" &amp; A4 &amp; "" in the "" &amp; B4 &amp; "" directory, highlighting its specific local distinctiveness, notable neighborhood context, and key destination appeal without using repetitive phrasing, generi"&amp;"c templates, or cliché marketing filler."")"),"Pet insurance for older dogs provides tailored financial protection designed to handle the increased healthcare needs of aging canines. As dogs grow older, they become more prone to chronic conditions, joint issues, and sudden illnesses, making comprehens"&amp;"ive veterinary coverage essential. Securing dedicated policy options for senior dogs helps owners manage costly medical care and specialized treatments, ensuring aging pets remain comfortable and well-cared for in their golden years.")</f>
        <v>Pet insurance for older dogs provides tailored financial protection designed to handle the increased healthcare needs of aging canines. As dogs grow older, they become more prone to chronic conditions, joint issues, and sudden illnesses, making comprehensive veterinary coverage essential. Securing dedicated policy options for senior dogs helps owners manage costly medical care and specialized treatments, ensuring aging pets remain comfortable and well-cared for in their golden years.</v>
      </c>
      <c r="G4"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phrases."")"),"&lt;h2&gt;Senior Dog Health Insurance Plans in India&lt;/h2&gt;&lt;p&gt;Specially crafted for aging canines, senior dog insurance plans help Indian pet parents manage the rising healthcare expenses associated with older age, including joint care, chronic ailments, and emer"&amp;"gency treatments. Securing dedicated coverage ensures senior dogs receive compassionate, high-quality medical care throughout their golden years.&lt;/p&gt;")</f>
        <v>&lt;h2&gt;Senior Dog Health Insurance Plans in India&lt;/h2&gt;&lt;p&gt;Specially crafted for aging canines, senior dog insurance plans help Indian pet parents manage the rising healthcare expenses associated with older age, including joint care, chronic ailments, and emergency treatments. Securing dedicated coverage ensures senior dogs receive compassionate, high-quality medical care throughout their golden years.&lt;/p&gt;</v>
      </c>
      <c r="H4"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provider."")"),"&lt;h2&gt;Senior Dog Insurance by Digit Insurance&lt;/h2&gt;&lt;p&gt;Go Digit General Insurance offers flexible healthcare policies for aging canines in India, helping pet parents manage rising medical costs, surgeries, and specialized veterinary treatments required in a d"&amp;"og's golden years. Dog owners can seamlessly obtain digital financial protection to safeguard older pets against unexpected health issues; learn more about available plans directly on the official &lt;a href=""https://www.godigit.com""&gt;Digit Insurance websit"&amp;"e&lt;/a&gt;.&lt;/p&gt;")</f>
        <v>&lt;h2&gt;Senior Dog Insurance by Digit Insurance&lt;/h2&gt;&lt;p&gt;Go Digit General Insurance offers flexible healthcare policies for aging canines in India, helping pet parents manage rising medical costs, surgeries, and specialized veterinary treatments required in a dog's golden years. Dog owners can seamlessly obtain digital financial protection to safeguard older pets against unexpected health issues; learn more about available plans directly on the official &lt;a href="https://www.godigit.com"&gt;Digit Insurance website&lt;/a&gt;.&lt;/p&gt;</v>
      </c>
      <c r="I4"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context."")"),"&lt;h2&gt;Senior Dog Insurance Premiums and Renewals&lt;/h2&gt;&lt;p&gt;Premium rates for aging dogs in India reflect higher health risks and potential chronic conditions. Timely annual renewal guarantees continuous medical coverage for senior dogs without break-in-policy "&amp;"penalties, keeping critical veterinary treatments affordable throughout their golden years.&lt;/p&gt;| Policy Feature | Details |
| :----------------------- | :------------------------------------ |
| Sum Insured Range | ₹20,000 - ₹5,000,000 |
| Estimated Annua"&amp;"l Premium | ₹5,000 - ₹20,000 |
| Policy Tenure | 1 Year (Renewable annually) |
| Grace Period | 30 days from expiry |
| No Claim Bonus (NCB) | 5% to 15% discount on renewal |")</f>
        <v>&lt;h2&gt;Senior Dog Insurance Premiums and Renewals&lt;/h2&gt;&lt;p&gt;Premium rates for aging dogs in India reflect higher health risks and potential chronic conditions. Timely annual renewal guarantees continuous medical coverage for senior dogs without break-in-policy penalties, keeping critical veterinary treatments affordable throughout their golden years.&lt;/p&gt;| Policy Feature | Details |
| :----------------------- | :------------------------------------ |
| Sum Insured Range | ₹20,000 - ₹5,000,000 |
| Estimated Annual Premium | ₹5,000 - ₹20,000 |
| Policy Tenure | 1 Year (Renewable annually) |
| Grace Period | 30 days from expiry |
| No Claim Bonus (NCB) | 5% to 15% discount on renewal |</v>
      </c>
      <c r="J4"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Senior Dog Hospitalization"&amp;" &amp; Illness | Covered subject to co-payment terms and age limits |
| Chronic Age-Related Conditions | Covered post initial waiting period completion |
| Pre-Existing Senior Ailments | Excluded from standard senior canine plans |
| Third-Party Legal Liabili"&amp;"ty | Included for third-party injury or property damage |
| OPD Care &amp; Diagnostics | Optional rider coverage with specific caps |
| Cosmetic Procedures &amp; Dental Care | Excluded unless caused by accidental trauma |
| Major Surgical Operations | Covered for"&amp;" urgent, non-elective treatments |")</f>
        <v>&lt;h2&gt;Pet Insurance Coverage Inclusions and Exclusions in India&lt;/h2&gt;| Policy Component | Coverage Status &amp; Terms |
| :----------------------------------------- | :--------------------------------------------------------------- |
| Senior Dog Hospitalization &amp; Illness | Covered subject to co-payment terms and age limits |
| Chronic Age-Related Conditions | Covered post initial waiting period completion |
| Pre-Existing Senior Ailments | Excluded from standard senior canine plans |
| Third-Party Legal Liability | Included for third-party injury or property damage |
| OPD Care &amp; Diagnostics | Optional rider coverage with specific caps |
| Cosmetic Procedures &amp; Dental Care | Excluded unless caused by accidental trauma |
| Major Surgical Operations | Covered for urgent, non-elective treatments |</v>
      </c>
      <c r="K4"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A4 &amp; "") and its corresponding compliance specification in Column B ("" &amp; B4 &amp; ""), ensuring all descriptions remain entirely distinct without overlapping terminology."")"),"&lt;h2&gt;Mandatory Prerequisites for Older Dog Insurance in India&lt;/h2&gt;&lt;ul&gt;&lt;li&gt;Complete veterinary medical history records documenting senior health assessments and pre-existing medical conditions&lt;/li&gt;&lt;li&gt;Proof of up-to-date vaccinations administered by a certi"&amp;"fied veterinarian&lt;/li&gt;&lt;li&gt;Microchip registration or verifiable physical identification details&lt;/li&gt;&lt;li&gt;Comprehensive pre-policy health checkup report confirming senior canine fitness&lt;/li&gt;&lt;/ul&gt;")</f>
        <v>&lt;h2&gt;Mandatory Prerequisites for Older Dog Insurance in India&lt;/h2&gt;&lt;ul&gt;&lt;li&gt;Complete veterinary medical history records documenting senior health assessments and pre-existing medical conditions&lt;/li&gt;&lt;li&gt;Proof of up-to-date vaccinations administered by a certified veterinarian&lt;/li&gt;&lt;li&gt;Microchip registration or verifiable physical identification details&lt;/li&gt;&lt;li&gt;Comprehensive pre-policy health checkup report confirming senior canine fitness&lt;/li&gt;&lt;/ul&gt;</v>
      </c>
      <c r="L4"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Older Dog Insurance in India&lt;/h2&gt; What medical expenses are covered under senior dog insurance plans in India? Senior dog health policies cover age-related chronic illnesses, accidental trauma, urgent surgical operatio"&amp;"ns, and hospitalization, subject to initial waiting periods and co-payment terms. How do aging factors influence pet insurance premiums for older dogs? Premiums reflect elevated health risks, dog age, and selected coverage caps, though timely annual renew"&amp;"als maintain uninterrupted protection without break-in-policy penalties. What documentation is required to insure a senior canine? Applicants must submit comprehensive medical history records, proof of up-to-date vaccinations, microchip registration detai"&amp;"ls, and a recent pre-policy veterinary health evaluation.")</f>
        <v>&lt;h2&gt;Frequently Asked Questions About Older Dog Insurance in India&lt;/h2&gt; What medical expenses are covered under senior dog insurance plans in India? Senior dog health policies cover age-related chronic illnesses, accidental trauma, urgent surgical operations, and hospitalization, subject to initial waiting periods and co-payment terms. How do aging factors influence pet insurance premiums for older dogs? Premiums reflect elevated health risks, dog age, and selected coverage caps, though timely annual renewals maintain uninterrupted protection without break-in-policy penalties. What documentation is required to insure a senior canine? Applicants must submit comprehensive medical history records, proof of up-to-date vaccinations, microchip registration details, and a recent pre-policy veterinary health evaluation.</v>
      </c>
    </row>
    <row r="5">
      <c r="A5" s="3" t="s">
        <v>12</v>
      </c>
      <c r="B5" s="3" t="s">
        <v>16</v>
      </c>
      <c r="C5" s="4" t="str">
        <f>IFERROR(__xludf.DUMMYFUNCTION("AI(""Act as an expert programmatic SEO copywriter. Write a unique, compelling SEO page title in the third-person tone for "" &amp; A5 &amp; "" in "" &amp; B5 &amp; "", ensuring no duplicate phrasings, filler words, or repetitive structural patterns across entries."")"),"Pet Insurance for Pre-Existing Conditions: Options &amp; Coverage Guide")</f>
        <v>Pet Insurance for Pre-Existing Conditions: Options &amp; Coverage Guide</v>
      </c>
      <c r="D5" s="4" t="str">
        <f>IFERROR(__xludf.DUMMYFUNCTION("AI(""Write a unique, third-person SEO meta description under 155 characters for a directory listing named "" &amp; A5 &amp; "" located in "" &amp; B5 &amp; "", highlighting its key offerings and local value proposition without using generic filler or duplicate phrasing."&amp;""")"),"Explore pet insurance plans for pre-existing conditions in India. Manage chronic care, ongoing treatments, and veterinary expenses with ease.")</f>
        <v>Explore pet insurance plans for pre-existing conditions in India. Manage chronic care, ongoing treatments, and veterinary expenses with ease.</v>
      </c>
      <c r="E5" s="4" t="str">
        <f>IFERROR(__xludf.DUMMYFUNCTION("AI(""Write a unique and compelling third-person H1 tag for "" &amp; A5 &amp; "" in "" &amp; B5 &amp; "", ensuring no generic or duplicate phrasing across rows, using distinct modifiers based on local search intent, and keeping it under 65 characters."")"),"Best Pre-Existing Condition Pet Insurance Plans in India")</f>
        <v>Best Pre-Existing Condition Pet Insurance Plans in India</v>
      </c>
      <c r="F5" s="4" t="str">
        <f>IFERROR(__xludf.DUMMYFUNCTION("AI(""Write a unique, third-person introductory overview for row "" &amp; A5 &amp; "" in the "" &amp; B5 &amp; "" directory, highlighting its specific local distinctiveness, notable neighborhood context, and key destination appeal without using repetitive phrasing, generi"&amp;"c templates, or cliché marketing filler."")"),"Pet insurance for pre-existing conditions provides specialized support for owners managing pets with prior health issues or chronic medical conditions. Securing tailored coverage options enables pet owners to navigate ongoing treatments, routine monitorin"&amp;"g, and specialized veterinary care while effectively managing long-term health expenses.")</f>
        <v>Pet insurance for pre-existing conditions provides specialized support for owners managing pets with prior health issues or chronic medical conditions. Securing tailored coverage options enables pet owners to navigate ongoing treatments, routine monitoring, and specialized veterinary care while effectively managing long-term health expenses.</v>
      </c>
      <c r="G5"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phrases."")"),"&lt;h2&gt;Pre-Existing Condition Pet Insurance Coverage&lt;/h2&gt;&lt;p&gt;Designed to support pets requiring ongoing treatment, pre-existing condition insurance options in India assist owners in managing continuous medical care, therapeutic treatments, and frequent veteri"&amp;"nary consultations. These specialized pet insurance plans help offset long-term expenses and ensure consistent healthcare for pets with prior health issues.&lt;/p&gt;")</f>
        <v>&lt;h2&gt;Pre-Existing Condition Pet Insurance Coverage&lt;/h2&gt;&lt;p&gt;Designed to support pets requiring ongoing treatment, pre-existing condition insurance options in India assist owners in managing continuous medical care, therapeutic treatments, and frequent veterinary consultations. These specialized pet insurance plans help offset long-term expenses and ensure consistent healthcare for pets with prior health issues.&lt;/p&gt;</v>
      </c>
      <c r="H5"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provider."")"),"&lt;h2&gt;Pet Insurance Coverage by Universal Sompo&lt;/h2&gt;&lt;p&gt;Universal Sompo General Insurance delivers customizable pet healthcare plans across India, assisting owners in managing continuous medical care, outpatient visits, and major treatments for pets with ong"&amp;"oing health needs. Pet owners can easily access reliable financial protection to support long-term veterinary care; explore full policy guidelines directly on the official &lt;a href=""https://www.universalsompo.com""&gt;Universal Sompo website&lt;/a&gt;.&lt;/p&gt;")</f>
        <v>&lt;h2&gt;Pet Insurance Coverage by Universal Sompo&lt;/h2&gt;&lt;p&gt;Universal Sompo General Insurance delivers customizable pet healthcare plans across India, assisting owners in managing continuous medical care, outpatient visits, and major treatments for pets with ongoing health needs. Pet owners can easily access reliable financial protection to support long-term veterinary care; explore full policy guidelines directly on the official &lt;a href="https://www.universalsompo.com"&gt;Universal Sompo website&lt;/a&gt;.&lt;/p&gt;</v>
      </c>
      <c r="I5"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context."")"),"&lt;h2&gt;Pet Insurance Premiums for Pre-Existing Conditions&lt;/h2&gt;&lt;p&gt;Insurance premiums for pets with pre-existing conditions are structured around initial waiting periods, specific exclusions, and policy add-ons in India. Maintaining seamless yearly renewals is"&amp;" vital to preserve ongoing coverage benefits and avoid resetting waiting period requirements.&lt;/p&gt;| Policy Feature | Details |
| :----------------------- | :------------------------------------ |
| Sum Insured Range | ₹15,000 - ₹4,000,000 |
| Estimated Ann"&amp;"ual Premium | ₹4,000 - ₹18,000 |
| Policy Tenure | 1 Year (Renewable annually) |
| Grace Period | 30 days from expiry |
| No Claim Bonus (NCB) | 5% to 20% discount on renewal |")</f>
        <v>&lt;h2&gt;Pet Insurance Premiums for Pre-Existing Conditions&lt;/h2&gt;&lt;p&gt;Insurance premiums for pets with pre-existing conditions are structured around initial waiting periods, specific exclusions, and policy add-ons in India. Maintaining seamless yearly renewals is vital to preserve ongoing coverage benefits and avoid resetting waiting period requirements.&lt;/p&gt;| Policy Feature | Details |
| :----------------------- | :------------------------------------ |
| Sum Insured Range | ₹15,000 - ₹4,000,000 |
| Estimated Annual Premium | ₹4,000 - ₹18,000 |
| Policy Tenure | 1 Year (Renewable annually) |
| Grace Period | 30 days from expiry |
| No Claim Bonus (NCB) | 5% to 20% discount on renewal |</v>
      </c>
      <c r="J5"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Accidental Injury &amp; Trauma"&amp;" | Fully covered up to sum insured limit |
| Pre-Existing Medical Conditions | Subject to specific waiting periods or explicit exclusions |
| Hereditary &amp; Congenital Disorders | Covered after completing full waiting tenure |
| Third-Party Legal Liability "&amp;"| Standard inclusion for pet-related liability claims |
| Outpatient Consultations &amp; Meds | Optional add-on with defined annual capping |
| Routine Vaccinations &amp; Supplements | Excluded from standard coverage scope |
| Inpatient Hospitalization Care | Cov"&amp;"ered for acute non-pre-existing medical events |")</f>
        <v>&lt;h2&gt;Pet Insurance Coverage Inclusions and Exclusions in India&lt;/h2&gt;| Policy Component | Coverage Status &amp; Terms |
| :----------------------------------------- | :--------------------------------------------------------------- |
| Accidental Injury &amp; Trauma | Fully covered up to sum insured limit |
| Pre-Existing Medical Conditions | Subject to specific waiting periods or explicit exclusions |
| Hereditary &amp; Congenital Disorders | Covered after completing full waiting tenure |
| Third-Party Legal Liability | Standard inclusion for pet-related liability claims |
| Outpatient Consultations &amp; Meds | Optional add-on with defined annual capping |
| Routine Vaccinations &amp; Supplements | Excluded from standard coverage scope |
| Inpatient Hospitalization Care | Covered for acute non-pre-existing medical events |</v>
      </c>
      <c r="K5"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A5 &amp; "") and its corresponding compliance specification in Column B ("" &amp; B5 &amp; ""), ensuring all descriptions remain entirely distinct without overlapping terminology."")"),"&lt;h2&gt;Mandatory Prerequisites for Pre-Existing Condition Pet Insurance in India&lt;/h2&gt;&lt;ul&gt;&lt;li&gt;Submission of detailed medical history records and prior veterinary diagnosis reports from certified clinics&lt;/li&gt;&lt;li&gt;Mandatory pre-policy health checkup conducted by"&amp;" an authorized veterinarian to assess current condition severity&lt;/li&gt;&lt;li&gt;Completion of specific policy waiting periods before coverage benefits for chronic or prior health issues commence&lt;/li&gt;&lt;li&gt;Proof of ongoing treatment plans and baseline medication pr"&amp;"escriptions to establish accurate policy underwriting parameters&lt;/li&gt;&lt;/ul&gt;")</f>
        <v>&lt;h2&gt;Mandatory Prerequisites for Pre-Existing Condition Pet Insurance in India&lt;/h2&gt;&lt;ul&gt;&lt;li&gt;Submission of detailed medical history records and prior veterinary diagnosis reports from certified clinics&lt;/li&gt;&lt;li&gt;Mandatory pre-policy health checkup conducted by an authorized veterinarian to assess current condition severity&lt;/li&gt;&lt;li&gt;Completion of specific policy waiting periods before coverage benefits for chronic or prior health issues commence&lt;/li&gt;&lt;li&gt;Proof of ongoing treatment plans and baseline medication prescriptions to establish accurate policy underwriting parameters&lt;/li&gt;&lt;/ul&gt;</v>
      </c>
      <c r="L5"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Pet Insurance for Pre-Existing Conditions in India&lt;/h2&gt; How does pet insurance address pre-existing health conditions in India? Pre-existing conditions are generally excluded from standard policies initially but can be"&amp;" covered after completing specified waiting periods or adding optional coverage riders. How are premiums structured for pets with prior health issues? Premiums are determined by the pet's current medical status, chosen waiting period terms, base sum insur"&amp;"ed limits, and optional outpatient care add-ons. What steps are mandatory when applying for pre-existing condition insurance? Pet owners must submit complete veterinary medical records, undergo a pre-policy health evaluation by a licensed vet, and provide"&amp;" ongoing treatment prescriptions.")</f>
        <v>&lt;h2&gt;Frequently Asked Questions About Pet Insurance for Pre-Existing Conditions in India&lt;/h2&gt; How does pet insurance address pre-existing health conditions in India? Pre-existing conditions are generally excluded from standard policies initially but can be covered after completing specified waiting periods or adding optional coverage riders. How are premiums structured for pets with prior health issues? Premiums are determined by the pet's current medical status, chosen waiting period terms, base sum insured limits, and optional outpatient care add-ons. What steps are mandatory when applying for pre-existing condition insurance? Pet owners must submit complete veterinary medical records, undergo a pre-policy health evaluation by a licensed vet, and provide ongoing treatment prescriptions.</v>
      </c>
    </row>
    <row r="6">
      <c r="A6" s="3" t="s">
        <v>12</v>
      </c>
      <c r="B6" s="3" t="s">
        <v>17</v>
      </c>
      <c r="C6" s="4" t="str">
        <f>IFERROR(__xludf.DUMMYFUNCTION("AI(""Act as an expert programmatic SEO copywriter. Write a unique, compelling SEO page title in the third-person tone for "" &amp; A6 &amp; "" in "" &amp; B6 &amp; "", ensuring no duplicate phrasings, filler words, or repetitive structural patterns across entries."")"),"Accident Pet Insurance: Emergency Trauma &amp; Surgical Coverage")</f>
        <v>Accident Pet Insurance: Emergency Trauma &amp; Surgical Coverage</v>
      </c>
      <c r="D6" s="4" t="str">
        <f>IFERROR(__xludf.DUMMYFUNCTION("AI(""Write a unique, third-person SEO meta description under 155 characters for a directory listing named "" &amp; A6 &amp; "" located in "" &amp; B6 &amp; "", highlighting its key offerings and local value proposition without using generic filler or duplicate phrasing."&amp;""")"),"Protect your pet with accident insurance in India. Compare plans covering emergency trauma, surgeries, and fractures against sudden medical costs.")</f>
        <v>Protect your pet with accident insurance in India. Compare plans covering emergency trauma, surgeries, and fractures against sudden medical costs.</v>
      </c>
      <c r="E6" s="4" t="str">
        <f>IFERROR(__xludf.DUMMYFUNCTION("AI(""Write a unique and compelling third-person H1 tag for "" &amp; A6 &amp; "" in "" &amp; B6 &amp; "", ensuring no generic or duplicate phrasing across rows, using distinct modifiers based on local search intent, and keeping it under 65 characters."")"),"Best Accident Pet Insurance in India for Emergency Trauma")</f>
        <v>Best Accident Pet Insurance in India for Emergency Trauma</v>
      </c>
      <c r="F6" s="4" t="str">
        <f>IFERROR(__xludf.DUMMYFUNCTION("AI(""Write a unique, third-person introductory overview for row "" &amp; A6 &amp; "" in the "" &amp; B6 &amp; "" directory, highlighting its specific local distinctiveness, notable neighborhood context, and key destination appeal without using repetitive phrasing, generi"&amp;"c templates, or cliché marketing filler."")"),"Pet insurance for accidents offers crucial financial support when unforeseen injuries or physical traumas occur, covering emergency veterinary visits, diagnostic imaging, surgeries, and critical care. Obtaining accident-only coverage ensures pet owners ar"&amp;"e prepared for sudden physical mishaps and urgent medical situations without bearing full out-of-pocket costs.")</f>
        <v>Pet insurance for accidents offers crucial financial support when unforeseen injuries or physical traumas occur, covering emergency veterinary visits, diagnostic imaging, surgeries, and critical care. Obtaining accident-only coverage ensures pet owners are prepared for sudden physical mishaps and urgent medical situations without bearing full out-of-pocket costs.</v>
      </c>
      <c r="G6"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phrases."")"),"&lt;h2&gt;Accident-Only Pet Insurance Policies in India&lt;/h2&gt;&lt;p&gt;Accident-only pet insurance offers targeted financial support for physical injuries, emergency trauma care, fractures, and urgent surgical procedures across India. This cost-effective policy safegua"&amp;"rds pet owners against sudden medical expenses, ensuring swift diagnostic imaging and vital treatment whenever unexpected accidents occur.&lt;/p&gt;")</f>
        <v>&lt;h2&gt;Accident-Only Pet Insurance Policies in India&lt;/h2&gt;&lt;p&gt;Accident-only pet insurance offers targeted financial support for physical injuries, emergency trauma care, fractures, and urgent surgical procedures across India. This cost-effective policy safeguards pet owners against sudden medical expenses, ensuring swift diagnostic imaging and vital treatment whenever unexpected accidents occur.&lt;/p&gt;</v>
      </c>
      <c r="H6"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provider."")"),"&lt;h2&gt;Accident Pet Insurance by Digit Insurance&lt;/h2&gt;&lt;p&gt;Go Digit General Insurance provides quick, hassle-free accident-only coverage for pets in India, ensuring swift financial support when unforeseen injuries, fractures, or urgent surgical procedures occur"&amp;". Pet owners can easily protect their beloved animals against unexpected trauma expenses and emergency vet care without financial strain; learn more about available plans directly on the official &lt;a href=""https://www.godigit.com""&gt;Digit Insurance website"&amp;"&lt;/a&gt;.&lt;/p&gt;")</f>
        <v>&lt;h2&gt;Accident Pet Insurance by Digit Insurance&lt;/h2&gt;&lt;p&gt;Go Digit General Insurance provides quick, hassle-free accident-only coverage for pets in India, ensuring swift financial support when unforeseen injuries, fractures, or urgent surgical procedures occur. Pet owners can easily protect their beloved animals against unexpected trauma expenses and emergency vet care without financial strain; learn more about available plans directly on the official &lt;a href="https://www.godigit.com"&gt;Digit Insurance website&lt;/a&gt;.&lt;/p&gt;</v>
      </c>
      <c r="I6"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context."")"),"&lt;h2&gt;Accident-Only Pet Insurance Premiums and Renewals&lt;/h2&gt;&lt;p&gt;Accident-only pet insurance plans offer highly affordable premium rates in India by covering emergency trauma and injuries exclusively. Annual policy renewal secures ongoing emergency protection"&amp;" against sudden physical mishaps while ensuring cost-effective coverage.&lt;/p&gt;| Policy Feature | Details |
| :----------------------- | :------------------------------------ |
| Sum Insured Range | ₹10,000 - ₹2,000,000 |
| Estimated Annual Premium | ₹1,500 "&amp;"- ₹6,000 |
| Policy Tenure | 1 Year (Renewable annually) |
| Grace Period | 30 days from expiry |
| No Claim Bonus (NCB) | 5% to 20% discount on renewal |")</f>
        <v>&lt;h2&gt;Accident-Only Pet Insurance Premiums and Renewals&lt;/h2&gt;&lt;p&gt;Accident-only pet insurance plans offer highly affordable premium rates in India by covering emergency trauma and injuries exclusively. Annual policy renewal secures ongoing emergency protection against sudden physical mishaps while ensuring cost-effective coverage.&lt;/p&gt;| Policy Feature | Details |
| :----------------------- | :------------------------------------ |
| Sum Insured Range | ₹10,000 - ₹2,000,000 |
| Estimated Annual Premium | ₹1,500 - ₹6,000 |
| Policy Tenure | 1 Year (Renewable annually) |
| Grace Period | 30 days from expiry |
| No Claim Bonus (NCB) | 5% to 20% discount on renewal |</v>
      </c>
      <c r="J6"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Accidental Trauma &amp; Fractu"&amp;"res | Fully covered up to base sum insured limit |
| Diagnostic X-Rays &amp; Imaging | Included for emergency injury assessments |
| Non-Accidental Illness &amp; Disease | Excluded under accident-only insurance plans |
| Pre-Existing Physical Injuries | Excluded "&amp;"from emergency trauma coverage |
| Third-Party Legal Liability | Optional add-on for accidental damage claims |
| Routine Veterinary Visits | Excluded from accident-focused policies |
| Emergency Surgical Operations | Covered for critical trauma intervent"&amp;"ion |")</f>
        <v>&lt;h2&gt;Pet Insurance Coverage Inclusions and Exclusions in India&lt;/h2&gt;| Policy Component | Coverage Status &amp; Terms |
| :----------------------------------------- | :--------------------------------------------------------------- |
| Accidental Trauma &amp; Fractures | Fully covered up to base sum insured limit |
| Diagnostic X-Rays &amp; Imaging | Included for emergency injury assessments |
| Non-Accidental Illness &amp; Disease | Excluded under accident-only insurance plans |
| Pre-Existing Physical Injuries | Excluded from emergency trauma coverage |
| Third-Party Legal Liability | Optional add-on for accidental damage claims |
| Routine Veterinary Visits | Excluded from accident-focused policies |
| Emergency Surgical Operations | Covered for critical trauma intervention |</v>
      </c>
      <c r="K6"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A6 &amp; "") and its corresponding compliance specification in Column B ("" &amp; B6 &amp; ""), ensuring all descriptions remain entirely distinct without overlapping terminology."")"),"&lt;h2&gt;Mandatory Prerequisites for Accident Pet Insurance in India&lt;/h2&gt;&lt;ul&gt;&lt;li&gt;Official pet registration or microchip verification to confirm identity during trauma claims&lt;/li&gt;&lt;li&gt;Immediate veterinary trauma assessment report detailing the exact cause, timin"&amp;"g, and extent of physical injuries&lt;/li&gt;&lt;li&gt;Age eligibility compliance, generally accepting pets from 8 weeks up to 8–10 years at policy commencement&lt;/li&gt;&lt;li&gt;Pre-policy health screening report confirming the absence of pre-existing physical defects or untr"&amp;"eated injuries&lt;/li&gt;&lt;/ul&gt;")</f>
        <v>&lt;h2&gt;Mandatory Prerequisites for Accident Pet Insurance in India&lt;/h2&gt;&lt;ul&gt;&lt;li&gt;Official pet registration or microchip verification to confirm identity during trauma claims&lt;/li&gt;&lt;li&gt;Immediate veterinary trauma assessment report detailing the exact cause, timing, and extent of physical injuries&lt;/li&gt;&lt;li&gt;Age eligibility compliance, generally accepting pets from 8 weeks up to 8–10 years at policy commencement&lt;/li&gt;&lt;li&gt;Pre-policy health screening report confirming the absence of pre-existing physical defects or untreated injuries&lt;/li&gt;&lt;/ul&gt;</v>
      </c>
      <c r="L6"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Accident Pet Insurance in India&lt;/h2&gt; What specific events are covered by accident-only pet insurance policies in India? Accident-only plans cover emergency physical trauma, bone fractures, diagnostic X-rays, and critic"&amp;"al surgical operations resulting directly from unforeseen mishaps. Are non-accidental illnesses included in accident pet insurance plans? Non-accidental diseases, pre-existing physical defects, and routine veterinary consultations are strictly excluded fr"&amp;"om accident-focused policies. What prerequisites must be met to secure accident coverage for pets? Pet owners need to verify official registration or microchip details, submit immediate trauma assessment reports during claims, and ensure compliance with s"&amp;"tandard age limits.")</f>
        <v>&lt;h2&gt;Frequently Asked Questions About Accident Pet Insurance in India&lt;/h2&gt; What specific events are covered by accident-only pet insurance policies in India? Accident-only plans cover emergency physical trauma, bone fractures, diagnostic X-rays, and critical surgical operations resulting directly from unforeseen mishaps. Are non-accidental illnesses included in accident pet insurance plans? Non-accidental diseases, pre-existing physical defects, and routine veterinary consultations are strictly excluded from accident-focused policies. What prerequisites must be met to secure accident coverage for pets? Pet owners need to verify official registration or microchip details, submit immediate trauma assessment reports during claims, and ensure compliance with standard age limits.</v>
      </c>
    </row>
    <row r="7">
      <c r="A7" s="3" t="s">
        <v>12</v>
      </c>
      <c r="B7" s="3" t="s">
        <v>18</v>
      </c>
      <c r="C7" s="4" t="str">
        <f>IFERROR(__xludf.DUMMYFUNCTION("AI(""Act as an expert programmatic SEO copywriter. Write a unique, compelling SEO page title in the third-person tone for "" &amp; A7 &amp; "" in "" &amp; B7 &amp; "", ensuring no duplicate phrasings, filler words, or repetitive structural patterns across entries."")"),"Bird Pet Insurance: Avian Coverage, Plans &amp; Vet Costs")</f>
        <v>Bird Pet Insurance: Avian Coverage, Plans &amp; Vet Costs</v>
      </c>
      <c r="D7" s="4" t="str">
        <f>IFERROR(__xludf.DUMMYFUNCTION("AI(""Write a unique, third-person SEO meta description under 155 characters for a directory listing named "" &amp; A7 &amp; "" located in "" &amp; B7 &amp; "", highlighting its key offerings and local value proposition without using generic filler or duplicate phrasing."&amp;""")"),"Explore bird pet insurance plans in India. Compare coverage for specialized avian vet care, emergency treatment, and illnesses to protect your bird.")</f>
        <v>Explore bird pet insurance plans in India. Compare coverage for specialized avian vet care, emergency treatment, and illnesses to protect your bird.</v>
      </c>
      <c r="E7" s="4" t="str">
        <f>IFERROR(__xludf.DUMMYFUNCTION("AI(""Write a unique and compelling third-person H1 tag for "" &amp; A7 &amp; "" in "" &amp; B7 &amp; "", ensuring no generic or duplicate phrasing across rows, using distinct modifiers based on local search intent, and keeping it under 65 characters."")"),"Top Bird Insurance Plans in India for Avian Care")</f>
        <v>Top Bird Insurance Plans in India for Avian Care</v>
      </c>
      <c r="F7" s="4" t="str">
        <f>IFERROR(__xludf.DUMMYFUNCTION("AI(""Write a unique, third-person introductory overview for row "" &amp; A7 &amp; "" in the "" &amp; B7 &amp; "" directory, highlighting its specific local distinctiveness, notable neighborhood context, and key destination appeal without using repetitive phrasing, generi"&amp;"c templates, or cliché marketing filler."")"),"Pet insurance for birds offers specialized financial protection for avian owners, helping cover costs related to unexpected injuries, illnesses, routine checkups, and specialized avian vet care. Maintaining appropriate coverage enables bird owners to hand"&amp;"le emergency medical expenses and support their pet's long-term health and well-being.")</f>
        <v>Pet insurance for birds offers specialized financial protection for avian owners, helping cover costs related to unexpected injuries, illnesses, routine checkups, and specialized avian vet care. Maintaining appropriate coverage enables bird owners to handle emergency medical expenses and support their pet's long-term health and well-being.</v>
      </c>
      <c r="G7"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phrases."")"),"&lt;h2&gt;Avian and Bird Pet Insurance Solutions&lt;/h2&gt;&lt;p&gt;Created specifically for avian owners across India, bird pet insurance delivers dedicated financial coverage for sudden illnesses, accidental injuries, specialized avian vet consultations, and routine heal"&amp;"th checks. Having appropriate insurance enables bird owners to access expert care and emergency treatments at top veterinary clinics nationwide.&lt;/p&gt;")</f>
        <v>&lt;h2&gt;Avian and Bird Pet Insurance Solutions&lt;/h2&gt;&lt;p&gt;Created specifically for avian owners across India, bird pet insurance delivers dedicated financial coverage for sudden illnesses, accidental injuries, specialized avian vet consultations, and routine health checks. Having appropriate insurance enables bird owners to access expert care and emergency treatments at top veterinary clinics nationwide.&lt;/p&gt;</v>
      </c>
      <c r="H7"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provider."")"),"&lt;h2&gt;Bird Pet Insurance Solutions by Future Generali&lt;/h2&gt;&lt;p&gt;Future Generali India Insurance delivers specialized financial protection for avian pets across India, helping bird owners manage unexpected medical treatments, accidental injuries, and expert vet"&amp;"erinary consultation costs. Securing reliable coverage enables avian enthusiasts to safeguard their feathered companions and maintain long-term health; check policy options directly on the official &lt;a href=""https://www.futuregenerali.in""&gt;Future Generali"&amp;" website&lt;/a&gt;.&lt;/p&gt;")</f>
        <v>&lt;h2&gt;Bird Pet Insurance Solutions by Future Generali&lt;/h2&gt;&lt;p&gt;Future Generali India Insurance delivers specialized financial protection for avian pets across India, helping bird owners manage unexpected medical treatments, accidental injuries, and expert veterinary consultation costs. Securing reliable coverage enables avian enthusiasts to safeguard their feathered companions and maintain long-term health; check policy options directly on the official &lt;a href="https://www.futuregenerali.in"&gt;Future Generali website&lt;/a&gt;.&lt;/p&gt;</v>
      </c>
      <c r="I7"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context."")"),"&lt;h2&gt;Bird Pet Insurance Premiums and Renewals&lt;/h2&gt;&lt;p&gt;Premiums for bird pet insurance in India are calculated according to avian species, rare breed status, and selected sum insured options. Regular annual renewal maintains dedicated financial support for s"&amp;"pecialized avian veterinary care, diagnostic checks, and emergency treatments.&lt;/p&gt;| Policy Feature | Details |
| :----------------------- | :------------------------------------ |
| Sum Insured Range | ₹5,000 - ₹1,000,000 |
| Estimated Annual Premium | ₹1"&amp;",000 - ₹5,000 |
| Policy Tenure | 1 Year (Renewable annually) |
| Grace Period | 30 days from expiry |
| No Claim Bonus (NCB) | 5% to 15% discount on renewal |")</f>
        <v>&lt;h2&gt;Bird Pet Insurance Premiums and Renewals&lt;/h2&gt;&lt;p&gt;Premiums for bird pet insurance in India are calculated according to avian species, rare breed status, and selected sum insured options. Regular annual renewal maintains dedicated financial support for specialized avian veterinary care, diagnostic checks, and emergency treatments.&lt;/p&gt;| Policy Feature | Details |
| :----------------------- | :------------------------------------ |
| Sum Insured Range | ₹5,000 - ₹1,000,000 |
| Estimated Annual Premium | ₹1,000 - ₹5,000 |
| Policy Tenure | 1 Year (Renewable annually) |
| Grace Period | 30 days from expiry |
| No Claim Bonus (NCB) | 5% to 15% discount on renewal |</v>
      </c>
      <c r="J7"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Avian Accidental Injury Co"&amp;"verage | Covered up to selected sum insured limits |
| Specialized Avian Illnesses | Covered following mandatory waiting period completion |
| Pre-Existing Avian Health Conditions | Excluded from standard bird insurance plans |
| Feather Plucking &amp; Behavi"&amp;"oral Issues | Excluded unless linked to underlying medical trauma |
| Avian OPD &amp; Consultations | Available via optional rider with capped benefits |
| Routine Clipping &amp; Grooming | Excluded under basic avian health policies |
| Emergency Hospitalization "&amp;"&amp; ICU | Covered for critical non-elective avian care |")</f>
        <v>&lt;h2&gt;Pet Insurance Coverage Inclusions and Exclusions in India&lt;/h2&gt;| Policy Component | Coverage Status &amp; Terms |
| :----------------------------------------- | :--------------------------------------------------------------- |
| Avian Accidental Injury Coverage | Covered up to selected sum insured limits |
| Specialized Avian Illnesses | Covered following mandatory waiting period completion |
| Pre-Existing Avian Health Conditions | Excluded from standard bird insurance plans |
| Feather Plucking &amp; Behavioral Issues | Excluded unless linked to underlying medical trauma |
| Avian OPD &amp; Consultations | Available via optional rider with capped benefits |
| Routine Clipping &amp; Grooming | Excluded under basic avian health policies |
| Emergency Hospitalization &amp; ICU | Covered for critical non-elective avian care |</v>
      </c>
      <c r="K7"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A7 &amp; "") and its corresponding compliance specification in Column B ("" &amp; B7 &amp; ""), ensuring all descriptions remain entirely distinct without overlapping terminology."")"),"&lt;h2&gt;Mandatory Prerequisites for Bird Insurance in India&lt;/h2&gt;&lt;ul&gt;&lt;li&gt;Closed leg band or official avian microchip registration for seamless identification&lt;/li&gt;&lt;li&gt;Avian health certificate issued by a recognized veterinary surgeon verifying overall wellness&lt;"&amp;"/li&gt;&lt;li&gt;Age eligibility adherence, typically ranging from 90 days to 10 years at policy inception&lt;/li&gt;&lt;li&gt;Complete diagnostic screening confirming absence of infectious avian diseases or pre-existing conditions&lt;/li&gt;&lt;/ul&gt;")</f>
        <v>&lt;h2&gt;Mandatory Prerequisites for Bird Insurance in India&lt;/h2&gt;&lt;ul&gt;&lt;li&gt;Closed leg band or official avian microchip registration for seamless identification&lt;/li&gt;&lt;li&gt;Avian health certificate issued by a recognized veterinary surgeon verifying overall wellness&lt;/li&gt;&lt;li&gt;Age eligibility adherence, typically ranging from 90 days to 10 years at policy inception&lt;/li&gt;&lt;li&gt;Complete diagnostic screening confirming absence of infectious avian diseases or pre-existing conditions&lt;/li&gt;&lt;/ul&gt;</v>
      </c>
      <c r="L7"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Bird Pet Insurance in India&lt;/h2&gt; What care services does bird pet insurance cover in India? Avian insurance plans provide financial protection for accidental physical trauma, specialized avian illnesses, emergency ICU "&amp;"stays, and optional outpatient consultations. How are annual premiums calculated for pet birds? Premium rates are calculated based on the bird species, rare breed status, selected coverage limits, and optional rider inclusions. What legal and medical prer"&amp;"equisites are required to insure a bird? Bird owners must present an official closed leg band or microchip registration, a recognized veterinary wellness certificate, and diagnostic screening reports.")</f>
        <v>&lt;h2&gt;Frequently Asked Questions About Bird Pet Insurance in India&lt;/h2&gt; What care services does bird pet insurance cover in India? Avian insurance plans provide financial protection for accidental physical trauma, specialized avian illnesses, emergency ICU stays, and optional outpatient consultations. How are annual premiums calculated for pet birds? Premium rates are calculated based on the bird species, rare breed status, selected coverage limits, and optional rider inclusions. What legal and medical prerequisites are required to insure a bird? Bird owners must present an official closed leg band or microchip registration, a recognized veterinary wellness certificate, and diagnostic screening reports.</v>
      </c>
    </row>
    <row r="8">
      <c r="A8" s="3" t="s">
        <v>12</v>
      </c>
      <c r="B8" s="3" t="s">
        <v>19</v>
      </c>
      <c r="C8" s="4" t="str">
        <f>IFERROR(__xludf.DUMMYFUNCTION("AI(""Act as an expert programmatic SEO copywriter. Write a unique, compelling SEO page title in the third-person tone for "" &amp; A8 &amp; "" in "" &amp; B8 &amp; "", ensuring no duplicate phrasings, filler words, or repetitive structural patterns across entries."")"),"All-Inclusive Pet Insurance: Complete Coverage &amp; Cost Guide")</f>
        <v>All-Inclusive Pet Insurance: Complete Coverage &amp; Cost Guide</v>
      </c>
      <c r="D8" s="4" t="str">
        <f>IFERROR(__xludf.DUMMYFUNCTION("AI(""Write a unique, third-person SEO meta description under 155 characters for a directory listing named "" &amp; A8 &amp; "" located in "" &amp; B8 &amp; "", highlighting its key offerings and local value proposition without using generic filler or duplicate phrasing."&amp;""")"),"Discover all-inclusive pet insurance in India. Compare full-coverage plans for surgeries, emergency care, illnesses, and routine checkups.")</f>
        <v>Discover all-inclusive pet insurance in India. Compare full-coverage plans for surgeries, emergency care, illnesses, and routine checkups.</v>
      </c>
      <c r="E8" s="4" t="str">
        <f>IFERROR(__xludf.DUMMYFUNCTION("AI(""Write a unique and compelling third-person H1 tag for "" &amp; A8 &amp; "" in "" &amp; B8 &amp; "", ensuring no generic or duplicate phrasing across rows, using distinct modifiers based on local search intent, and keeping it under 65 characters."")"),"Complete Pet Insurance Plans in India for Total Care")</f>
        <v>Complete Pet Insurance Plans in India for Total Care</v>
      </c>
      <c r="F8" s="4" t="str">
        <f>IFERROR(__xludf.DUMMYFUNCTION("AI(""Write a unique, third-person introductory overview for row "" &amp; A8 &amp; "" in the "" &amp; B8 &amp; "" directory, highlighting its specific local distinctiveness, notable neighborhood context, and key destination appeal without using repetitive phrasing, generi"&amp;"c templates, or cliché marketing filler."")"),"Comprehensive pet insurance offers all-inclusive financial protection for owners, safeguarding against unexpected veterinary bills, major surgeries, emergency treatments, and routine preventative care. Securing complete coverage ensures families can navig"&amp;"ate complex medical needs without financial strain while prioritizing their pet's lifelong health and vitality.")</f>
        <v>Comprehensive pet insurance offers all-inclusive financial protection for owners, safeguarding against unexpected veterinary bills, major surgeries, emergency treatments, and routine preventative care. Securing complete coverage ensures families can navigate complex medical needs without financial strain while prioritizing their pet's lifelong health and vitality.</v>
      </c>
      <c r="G8"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phrases."")"),"&lt;h2&gt;All-Inclusive Comprehensive Pet Insurance Coverage&lt;/h2&gt;&lt;p&gt;Comprehensive pet insurance provides all-encompassing financial protection covering major surgeries, emergency hospitalization, preventative checkups, and illness care for pets in India. Design"&amp;"ed to deliver complete peace of mind, this holistic policy enables families to access top-tier medical attention throughout every stage of their pet's life.&lt;/p&gt;")</f>
        <v>&lt;h2&gt;All-Inclusive Comprehensive Pet Insurance Coverage&lt;/h2&gt;&lt;p&gt;Comprehensive pet insurance provides all-encompassing financial protection covering major surgeries, emergency hospitalization, preventative checkups, and illness care for pets in India. Designed to deliver complete peace of mind, this holistic policy enables families to access top-tier medical attention throughout every stage of their pet's life.&lt;/p&gt;</v>
      </c>
      <c r="H8"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provider."")"),"&lt;h2&gt;Comprehensive Pet Insurance by SBI General Insurance&lt;/h2&gt;&lt;p&gt;SBI General Insurance offers all-inclusive healthcare policies for pets in India, covering major surgeries, emergency hospital stays, illness treatments, and routine preventive care under a s"&amp;"ingle comprehensive plan. Families can gain complete peace of mind knowing their pets are financially protected throughout every life stage; explore complete plan features directly on the official &lt;a href=""https://www.sbigeneral.in""&gt;SBI General Insuranc"&amp;"e website&lt;/a&gt;.&lt;/p&gt;")</f>
        <v>&lt;h2&gt;Comprehensive Pet Insurance by SBI General Insurance&lt;/h2&gt;&lt;p&gt;SBI General Insurance offers all-inclusive healthcare policies for pets in India, covering major surgeries, emergency hospital stays, illness treatments, and routine preventive care under a single comprehensive plan. Families can gain complete peace of mind knowing their pets are financially protected throughout every life stage; explore complete plan features directly on the official &lt;a href="https://www.sbigeneral.in"&gt;SBI General Insurance website&lt;/a&gt;.&lt;/p&gt;</v>
      </c>
      <c r="I8"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context."")"),"&lt;h2&gt;Comprehensive Pet Insurance Premiums and Renewals&lt;/h2&gt;&lt;p&gt;All-inclusive comprehensive pet insurance plans in India involve higher initial premium amounts due to extensive coverage spanning surgeries, illnesses, and preventive care. Prompt yearly renewa"&amp;"l prevents lapses, securing lifelong health coverage and maximizing cumulative NCB rewards.&lt;/p&gt;| Policy Feature | Details |
| :----------------------- | :------------------------------------ |
| Sum Insured Range | ₹25,000 - ₹5,000,000 |
| Estimated Annua"&amp;"l Premium | ₹6,000 - ₹25,000 |
| Policy Tenure | 1 Year (Renewable annually) |
| Grace Period | 30 days from expiry |
| No Claim Bonus (NCB) | 5% to 20% discount on renewal |")</f>
        <v>&lt;h2&gt;Comprehensive Pet Insurance Premiums and Renewals&lt;/h2&gt;&lt;p&gt;All-inclusive comprehensive pet insurance plans in India involve higher initial premium amounts due to extensive coverage spanning surgeries, illnesses, and preventive care. Prompt yearly renewal prevents lapses, securing lifelong health coverage and maximizing cumulative NCB rewards.&lt;/p&gt;| Policy Feature | Details |
| :----------------------- | :------------------------------------ |
| Sum Insured Range | ₹25,000 - ₹5,000,000 |
| Estimated Annual Premium | ₹6,000 - ₹25,000 |
| Policy Tenure | 1 Year (Renewable annually) |
| Grace Period | 30 days from expiry |
| No Claim Bonus (NCB) | 5% to 20% discount on renewal |</v>
      </c>
      <c r="J8"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Comprehensive Hospitalizat"&amp;"ion &amp; Surgery | Fully covered up to maximum sum insured |
| Illnesses &amp; Chronic Disease Management | Included after standard initial waiting tenure |
| Pre-Existing Medical Conditions | Subject to waiting period terms and add-on selection |
| Third-Party "&amp;"Liability Claims | Comprehensive coverage for personal injury or property damage |
| OPD Visits &amp; Diagnostic Tests | Integrated coverage subject to plan sub-limits |
| Routine Vaccinations &amp; Preventive Care | Covered up to specific wellness sub-limits |
|"&amp;" Cosmetic &amp; Elective Surgery | Excluded unless medically required post-accident |")</f>
        <v>&lt;h2&gt;Pet Insurance Coverage Inclusions and Exclusions in India&lt;/h2&gt;| Policy Component | Coverage Status &amp; Terms |
| :----------------------------------------- | :--------------------------------------------------------------- |
| Comprehensive Hospitalization &amp; Surgery | Fully covered up to maximum sum insured |
| Illnesses &amp; Chronic Disease Management | Included after standard initial waiting tenure |
| Pre-Existing Medical Conditions | Subject to waiting period terms and add-on selection |
| Third-Party Liability Claims | Comprehensive coverage for personal injury or property damage |
| OPD Visits &amp; Diagnostic Tests | Integrated coverage subject to plan sub-limits |
| Routine Vaccinations &amp; Preventive Care | Covered up to specific wellness sub-limits |
| Cosmetic &amp; Elective Surgery | Excluded unless medically required post-accident |</v>
      </c>
      <c r="K8"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A8 &amp; "") and its corresponding compliance specification in Column B ("" &amp; B8 &amp; ""), ensuring all descriptions remain entirely distinct without overlapping terminology."")"),"&lt;h2&gt;Mandatory Prerequisites for Comprehensive Pet Insurance in India&lt;/h2&gt;&lt;ul&gt;&lt;li&gt;Complete pre-policy veterinary health examination verifying overall wellness and absence of unrecorded chronic ailments&lt;/li&gt;&lt;li&gt;Submission of full, up-to-date vaccination rec"&amp;"ords certified by a registered veterinary medical practitioner&lt;/li&gt;&lt;li&gt;Implantation of an ISO-compliant microchip or official registration tag for legal pet identification&lt;/li&gt;&lt;li&gt;Adherence to age limits specified by the insurer, typically between 8 weeks"&amp;" and 10 years for initial enrollment&lt;/li&gt;&lt;/ul&gt;")</f>
        <v>&lt;h2&gt;Mandatory Prerequisites for Comprehensive Pet Insurance in India&lt;/h2&gt;&lt;ul&gt;&lt;li&gt;Complete pre-policy veterinary health examination verifying overall wellness and absence of unrecorded chronic ailments&lt;/li&gt;&lt;li&gt;Submission of full, up-to-date vaccination records certified by a registered veterinary medical practitioner&lt;/li&gt;&lt;li&gt;Implantation of an ISO-compliant microchip or official registration tag for legal pet identification&lt;/li&gt;&lt;li&gt;Adherence to age limits specified by the insurer, typically between 8 weeks and 10 years for initial enrollment&lt;/li&gt;&lt;/ul&gt;</v>
      </c>
      <c r="L8"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Comprehensive Pet Insurance in India&lt;/h2&gt; What makes comprehensive pet insurance different from standard coverage in India? Comprehensive policies offer all-inclusive protection spanning major surgeries, chronic illnes"&amp;"s management, emergency hospitalization, third-party liability, and routine preventive care. How do premium costs and renewal terms operate for comprehensive plans? Comprehensive coverage carries higher initial premiums due to extensive benefits, but prom"&amp;"pt annual renewals earn No Claim Bonus discounts and safeguard lifelong coverage. What enrollment requirements apply to all-inclusive pet insurance? Insurers require a thorough pre-policy veterinary examination, up-to-date vaccination certification, ISO-c"&amp;"ompliant microchip identification, and compliance with age eligibility thresholds.")</f>
        <v>&lt;h2&gt;Frequently Asked Questions About Comprehensive Pet Insurance in India&lt;/h2&gt; What makes comprehensive pet insurance different from standard coverage in India? Comprehensive policies offer all-inclusive protection spanning major surgeries, chronic illness management, emergency hospitalization, third-party liability, and routine preventive care. How do premium costs and renewal terms operate for comprehensive plans? Comprehensive coverage carries higher initial premiums due to extensive benefits, but prompt annual renewals earn No Claim Bonus discounts and safeguard lifelong coverage. What enrollment requirements apply to all-inclusive pet insurance? Insurers require a thorough pre-policy veterinary examination, up-to-date vaccination certification, ISO-compliant microchip identification, and compliance with age eligibility thresholds.</v>
      </c>
    </row>
    <row r="9">
      <c r="A9" s="3" t="s">
        <v>12</v>
      </c>
      <c r="B9" s="3" t="s">
        <v>20</v>
      </c>
      <c r="C9" s="4" t="str">
        <f>IFERROR(__xludf.DUMMYFUNCTION("AI(""Act as an expert programmatic SEO copywriter. Write a unique, compelling SEO page title in the third-person tone for "" &amp; A9 &amp; "" in "" &amp; B9 &amp; "", ensuring no duplicate phrasings, filler words, or repetitive structural patterns across entries."")"),"Exotic Pet Insurance: Coverage Options, Care &amp; Costs")</f>
        <v>Exotic Pet Insurance: Coverage Options, Care &amp; Costs</v>
      </c>
      <c r="D9" s="4" t="str">
        <f>IFERROR(__xludf.DUMMYFUNCTION("AI(""Write a unique, third-person SEO meta description under 155 characters for a directory listing named "" &amp; A9 &amp; "" located in "" &amp; B9 &amp; "", highlighting its key offerings and local value proposition without using generic filler or duplicate phrasing."&amp;""")"),"Explore exotic pet insurance in India. Compare plans covering specialized vet care, emergency stays, and diagnostic tests for non-traditional pets.")</f>
        <v>Explore exotic pet insurance in India. Compare plans covering specialized vet care, emergency stays, and diagnostic tests for non-traditional pets.</v>
      </c>
      <c r="E9" s="4" t="str">
        <f>IFERROR(__xludf.DUMMYFUNCTION("AI(""Write a unique and compelling third-person H1 tag for "" &amp; A9 &amp; "" in "" &amp; B9 &amp; "", ensuring no generic or duplicate phrasing across rows, using distinct modifiers based on local search intent, and keeping it under 65 characters."")"),"Top Exotic Pet Insurance Plans in India for Unique Species")</f>
        <v>Top Exotic Pet Insurance Plans in India for Unique Species</v>
      </c>
      <c r="F9" s="4" t="str">
        <f>IFERROR(__xludf.DUMMYFUNCTION("AI(""Write a unique, third-person introductory overview for row "" &amp; A9 &amp; "" in the "" &amp; B9 &amp; "" directory, highlighting its specific local distinctiveness, notable neighborhood context, and key destination appeal without using repetitive phrasing, generi"&amp;"c templates, or cliché marketing filler."")"),"Pet insurance for exotic pets provides essential financial protection for owners of non-traditional animals, covering specialized veterinary care, unexpected medical emergencies, and treatment for unique species. Securing dedicated coverage ensures owners"&amp;" can comfortably manage complex healthcare needs and safeguard their pet's long-term well-being.")</f>
        <v>Pet insurance for exotic pets provides essential financial protection for owners of non-traditional animals, covering specialized veterinary care, unexpected medical emergencies, and treatment for unique species. Securing dedicated coverage ensures owners can comfortably manage complex healthcare needs and safeguard their pet's long-term well-being.</v>
      </c>
      <c r="G9"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phrases."")"),"&lt;h2&gt;Exotic Pet Insurance Coverage Options&lt;/h2&gt;&lt;p&gt;Designed specifically for non-traditional pets across India, exotic pet insurance offers specialized financial protection against unexpected medical emergencies, diagnostic tests, and unique veterinary proc"&amp;"edures. This dedicated policy helps owners manage complex healthcare expenses while ensuring unique species receive proper medical care at qualified clinics nationwide.&lt;/p&gt;")</f>
        <v>&lt;h2&gt;Exotic Pet Insurance Coverage Options&lt;/h2&gt;&lt;p&gt;Designed specifically for non-traditional pets across India, exotic pet insurance offers specialized financial protection against unexpected medical emergencies, diagnostic tests, and unique veterinary procedures. This dedicated policy helps owners manage complex healthcare expenses while ensuring unique species receive proper medical care at qualified clinics nationwide.&lt;/p&gt;</v>
      </c>
      <c r="H9"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provider."")"),"&lt;h2&gt;Exotic Pet Healthcare Coverage by Reliance General Insurance&lt;/h2&gt;&lt;p&gt;Reliance General Insurance provides tailored insurance options for non-traditional and exotic pets in India, helping owners cover specialized veterinary expenses, diagnostic tests, an"&amp;"d critical emergency care. Having dedicated financial backing ensures unique companion species receive timely, expert treatment from qualified specialists nationwide; review detailed policy benefits directly on the official &lt;a href=""https://www.relianceg"&amp;"eneral.co.in""&gt;Reliance General Insurance website&lt;/a&gt;.&lt;/p&gt;")</f>
        <v>&lt;h2&gt;Exotic Pet Healthcare Coverage by Reliance General Insurance&lt;/h2&gt;&lt;p&gt;Reliance General Insurance provides tailored insurance options for non-traditional and exotic pets in India, helping owners cover specialized veterinary expenses, diagnostic tests, and critical emergency care. Having dedicated financial backing ensures unique companion species receive timely, expert treatment from qualified specialists nationwide; review detailed policy benefits directly on the official &lt;a href="https://www.reliancegeneral.co.in"&gt;Reliance General Insurance website&lt;/a&gt;.&lt;/p&gt;</v>
      </c>
      <c r="I9"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context."")"),"&lt;h2&gt;Exotic Pet Insurance Premiums and Renewals&lt;/h2&gt;&lt;p&gt;Premium amounts for exotic pets in India are influenced by species rarity, specialized veterinary care requirements, and selected coverage limits. Timely annual policy renewal ensures unbroken financia"&amp;"l protection for non-traditional species while avoiding policy lapses and preserving accrued renewal discounts.&lt;/p&gt;| Policy Feature | Details |
| :----------------------- | :------------------------------------ |
| Sum Insured Range | ₹10,000 - ₹1,500,000"&amp;" |
| Estimated Annual Premium | ₹2,000 - ₹10,000 |
| Policy Tenure | 1 Year (Renewable annually) |
| Grace Period | 30 days from expiry |
| No Claim Bonus (NCB) | 5% to 15% discount on renewal |")</f>
        <v>&lt;h2&gt;Exotic Pet Insurance Premiums and Renewals&lt;/h2&gt;&lt;p&gt;Premium amounts for exotic pets in India are influenced by species rarity, specialized veterinary care requirements, and selected coverage limits. Timely annual policy renewal ensures unbroken financial protection for non-traditional species while avoiding policy lapses and preserving accrued renewal discounts.&lt;/p&gt;| Policy Feature | Details |
| :----------------------- | :------------------------------------ |
| Sum Insured Range | ₹10,000 - ₹1,500,000 |
| Estimated Annual Premium | ₹2,000 - ₹10,000 |
| Policy Tenure | 1 Year (Renewable annually) |
| Grace Period | 30 days from expiry |
| No Claim Bonus (NCB) | 5% to 15% discount on renewal |</v>
      </c>
      <c r="J9"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Exotic Species Emergency H"&amp;"ospitalization | Covered up to selected sum insured limits |
| Specialized Veterinary Consultations | Included post initial policy waiting periods |
| Pre-Existing Exotic Health Conditions | Excluded under standard policy terms |
| Rarity-Based Species Ex"&amp;"clusions | Excluded unless explicitly endorsed on policy schedule |
| Diagnostic Tests &amp; Laboratory Scans | Covered for non-elective medical emergencies |
| Routine Husbandry &amp; Grooming Care | Excluded under general healthcare provisions |
| Third-Party I"&amp;"njury or Damage Liability | Optional rider coverage where applicable |")</f>
        <v>&lt;h2&gt;Pet Insurance Coverage Inclusions and Exclusions in India&lt;/h2&gt;| Policy Component | Coverage Status &amp; Terms |
| :----------------------------------------- | :--------------------------------------------------------------- |
| Exotic Species Emergency Hospitalization | Covered up to selected sum insured limits |
| Specialized Veterinary Consultations | Included post initial policy waiting periods |
| Pre-Existing Exotic Health Conditions | Excluded under standard policy terms |
| Rarity-Based Species Exclusions | Excluded unless explicitly endorsed on policy schedule |
| Diagnostic Tests &amp; Laboratory Scans | Covered for non-elective medical emergencies |
| Routine Husbandry &amp; Grooming Care | Excluded under general healthcare provisions |
| Third-Party Injury or Damage Liability | Optional rider coverage where applicable |</v>
      </c>
      <c r="K9"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A9 &amp; "") and its corresponding compliance specification in Column B ("" &amp; B9 &amp; ""), ensuring all descriptions remain entirely distinct without overlapping terminology."")"),"&lt;h2&gt;Mandatory Prerequisites for Exotic Pet Insurance in India&lt;/h2&gt;&lt;ul&gt;&lt;li&gt;Legal ownership documentation and official permit verifications for non-traditional species compliance&lt;/li&gt;&lt;li&gt;Comprehensive veterinary certificate from a qualified exotic animal sp"&amp;"ecialist confirming overall health status&lt;/li&gt;&lt;li&gt;Proper habitat and enclosure inspection reports ensuring appropriate husbandry standards are maintained&lt;/li&gt;&lt;li&gt;Proof of origin or legal acquisition records adhering to Indian wildlife protection regulatio"&amp;"ns&lt;/li&gt;&lt;/ul&gt;")</f>
        <v>&lt;h2&gt;Mandatory Prerequisites for Exotic Pet Insurance in India&lt;/h2&gt;&lt;ul&gt;&lt;li&gt;Legal ownership documentation and official permit verifications for non-traditional species compliance&lt;/li&gt;&lt;li&gt;Comprehensive veterinary certificate from a qualified exotic animal specialist confirming overall health status&lt;/li&gt;&lt;li&gt;Proper habitat and enclosure inspection reports ensuring appropriate husbandry standards are maintained&lt;/li&gt;&lt;li&gt;Proof of origin or legal acquisition records adhering to Indian wildlife protection regulations&lt;/li&gt;&lt;/ul&gt;</v>
      </c>
      <c r="L9"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Exotic Pet Insurance in India&lt;/h2&gt; What medical expenses are covered under exotic pet insurance in India? Exotic pet insurance covers specialized veterinary consultations, emergency hospitalization, and non-elective di"&amp;"agnostic scans, while excluding routine grooming and pre-existing conditions. How are premium costs determined for non-traditional pets? Premium amounts depend on species rarity, specialized care requirements, and selected coverage limits, with annual ren"&amp;"ewal discounts available for claim-free tenure. What mandatory prerequisites are needed to insure exotic animals? Owners must furnish legal ownership permits, proof of legal acquisition under wildlife regulations, proper habitat inspection reports, and a "&amp;"health certificate from an exotic animal specialist.")</f>
        <v>&lt;h2&gt;Frequently Asked Questions About Exotic Pet Insurance in India&lt;/h2&gt; What medical expenses are covered under exotic pet insurance in India? Exotic pet insurance covers specialized veterinary consultations, emergency hospitalization, and non-elective diagnostic scans, while excluding routine grooming and pre-existing conditions. How are premium costs determined for non-traditional pets? Premium amounts depend on species rarity, specialized care requirements, and selected coverage limits, with annual renewal discounts available for claim-free tenure. What mandatory prerequisites are needed to insure exotic animals? Owners must furnish legal ownership permits, proof of legal acquisition under wildlife regulations, proper habitat inspection reports, and a health certificate from an exotic animal specialist.</v>
      </c>
    </row>
    <row r="10">
      <c r="A10" s="3" t="s">
        <v>12</v>
      </c>
      <c r="B10" s="3" t="s">
        <v>21</v>
      </c>
      <c r="C10" s="4" t="str">
        <f>IFERROR(__xludf.DUMMYFUNCTION("AI(""Act as an expert programmatic SEO copywriter. Write a unique, compelling SEO page title in the third-person tone for "" &amp; A10 &amp; "" in "" &amp; B10 &amp; "", ensuring no duplicate phrasings, filler words, or repetitive structural patterns across entries."")"),"Aquatic Pet Insurance: Comprehensive Coverage &amp; Costs for Fish Owners")</f>
        <v>Aquatic Pet Insurance: Comprehensive Coverage &amp; Costs for Fish Owners</v>
      </c>
      <c r="D10" s="4" t="str">
        <f>IFERROR(__xludf.DUMMYFUNCTION("AI(""Write a unique, third-person SEO meta description under 155 characters for a directory listing named "" &amp; A10 &amp; "" located in "" &amp; B10 &amp; "", highlighting its key offerings and local value proposition without using generic filler or duplicate phrasing"&amp;"."")"),"Explore fish pet insurance in India. Compare plans covering aquatic disease treatments, water contamination care, and specialized vet consultations.")</f>
        <v>Explore fish pet insurance in India. Compare plans covering aquatic disease treatments, water contamination care, and specialized vet consultations.</v>
      </c>
      <c r="E10" s="4" t="str">
        <f>IFERROR(__xludf.DUMMYFUNCTION("AI(""Write a unique and compelling third-person H1 tag for "" &amp; A10 &amp; "" in "" &amp; B10 &amp; "", ensuring no generic or duplicate phrasing across rows, using distinct modifiers based on local search intent, and keeping it under 65 characters."")"),"Top Fish Insurance Plans in India for Aquatic Care")</f>
        <v>Top Fish Insurance Plans in India for Aquatic Care</v>
      </c>
      <c r="F10" s="4" t="str">
        <f>IFERROR(__xludf.DUMMYFUNCTION("AI(""Write a unique, third-person introductory overview for row "" &amp; A10 &amp; "" in the "" &amp; B10 &amp; "" directory, highlighting its specific local distinctiveness, notable neighborhood context, and key destination appeal without using repetitive phrasing, gene"&amp;"ric templates, or cliché marketing filler."")"),"Pet insurance for fish offers essential financial protection for aquatic hobbyists, helping manage veterinary expenses associated with specialized care, disease treatment, water quality-related health issues, and diagnostic tests. Dedicated coverage allow"&amp;"s fish owners to preserve delicate aquatic ecosystems and support long-term health without unexpected financial burden.")</f>
        <v>Pet insurance for fish offers essential financial protection for aquatic hobbyists, helping manage veterinary expenses associated with specialized care, disease treatment, water quality-related health issues, and diagnostic tests. Dedicated coverage allows fish owners to preserve delicate aquatic ecosystems and support long-term health without unexpected financial burden.</v>
      </c>
      <c r="G10"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phrases."")"),"&lt;h2&gt;Aquatic and Fish Pet Insurance Solutions&lt;/h2&gt;&lt;p&gt;Tailored for aquatic enthusiasts across India, fish pet insurance provides essential financial relief for specialized veterinary care, disease management, and water-related health treatments. Securing ap"&amp;"propriate coverage empowers fish owners to maintain delicate aquatic habitats and safeguard their aquatic pets against unexpected medical expenses.&lt;/p&gt;")</f>
        <v>&lt;h2&gt;Aquatic and Fish Pet Insurance Solutions&lt;/h2&gt;&lt;p&gt;Tailored for aquatic enthusiasts across India, fish pet insurance provides essential financial relief for specialized veterinary care, disease management, and water-related health treatments. Securing appropriate coverage empowers fish owners to maintain delicate aquatic habitats and safeguard their aquatic pets against unexpected medical expenses.&lt;/p&gt;</v>
      </c>
      <c r="H10"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provider."")"),"&lt;h2&gt;Aquatic and Fish Pet Insurance by HDFC ERGO&lt;/h2&gt;&lt;p&gt;HDFC ERGO General Insurance assists aquatic hobbyists across India by offering financial assistance for specialized veterinary care, disease management, and water quality-related health treatments for"&amp;" ornamental fish. Dedicated coverage allows fish keepers to maintain delicate aquatic habitats while preventing sudden medical expenses; find out more information directly on the official &lt;a href=""https://www.hdfcergo.com""&gt;HDFC ERGO website&lt;/a&gt;.&lt;/p&gt;")</f>
        <v>&lt;h2&gt;Aquatic and Fish Pet Insurance by HDFC ERGO&lt;/h2&gt;&lt;p&gt;HDFC ERGO General Insurance assists aquatic hobbyists across India by offering financial assistance for specialized veterinary care, disease management, and water quality-related health treatments for ornamental fish. Dedicated coverage allows fish keepers to maintain delicate aquatic habitats while preventing sudden medical expenses; find out more information directly on the official &lt;a href="https://www.hdfcergo.com"&gt;HDFC ERGO website&lt;/a&gt;.&lt;/p&gt;</v>
      </c>
      <c r="I10"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context."")"),"&lt;h2&gt;Fish Pet Insurance Premiums and Renewals&lt;/h2&gt;&lt;p&gt;Pet insurance premium amounts for aquatic species and ornamental fish in India depend on habitat setup, species rarity, total sum insured, and selected coverage add-ons. Prompt annual renewal ensures unb"&amp;"roken coverage against sudden water contamination or disease outbreaks while preserving long-term policy benefits.&lt;/p&gt;| Policy Feature | Details |
| :--- | :--- |
| Sum Insured Range | ₹10,000 - ₹2,000,000 |
| Estimated Annual Premium | ₹1,500 - ₹8,000 |
"&amp;"| Policy Tenure | 1 Year (Renewable annually) |
| Grace Period | 30 days from expiry |
| No Claim Bonus (NCB) | 5% to 15% discount on renewal |")</f>
        <v>&lt;h2&gt;Fish Pet Insurance Premiums and Renewals&lt;/h2&gt;&lt;p&gt;Pet insurance premium amounts for aquatic species and ornamental fish in India depend on habitat setup, species rarity, total sum insured, and selected coverage add-ons. Prompt annual renewal ensures unbroken coverage against sudden water contamination or disease outbreaks while preserving long-term policy benefits.&lt;/p&gt;| Policy Feature | Details |
| :--- | :--- |
| Sum Insured Range | ₹10,000 - ₹2,000,000 |
| Estimated Annual Premium | ₹1,500 - ₹8,000 |
| Policy Tenure | 1 Year (Renewable annually) |
| Grace Period | 30 days from expiry |
| No Claim Bonus (NCB) | 5% to 15% discount on renewal |</v>
      </c>
      <c r="J10"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Aquatic Disease &amp; Parasite"&amp;" Treatments | Covered after mandatory initial waiting period |
| Accidental Aquarium Water Contamination | Covered under specific aquatic policy endorsements |
| Gross Negligence &amp; Water Mismanagement | Excluded from basic coverage scope |
| Pre-Existing "&amp;"Aquatic Illnesses | Excluded from standard aquatic plans |
| Specialized Aquatic Vet Consultations | Covered up to specified sub-limit caps |
| Routine Tank Maintenance &amp; Setup Costs | Excluded under regular health provisions |
| Mass Mortality Event Cove"&amp;"r | Covered up to specified aquarium sum insured limits |")</f>
        <v>&lt;h2&gt;Pet Insurance Coverage Inclusions and Exclusions in India&lt;/h2&gt;| Policy Component | Coverage Status &amp; Terms |
| :----------------------------------------- | :--------------------------------------------------------------- |
| Aquatic Disease &amp; Parasite Treatments | Covered after mandatory initial waiting period |
| Accidental Aquarium Water Contamination | Covered under specific aquatic policy endorsements |
| Gross Negligence &amp; Water Mismanagement | Excluded from basic coverage scope |
| Pre-Existing Aquatic Illnesses | Excluded from standard aquatic plans |
| Specialized Aquatic Vet Consultations | Covered up to specified sub-limit caps |
| Routine Tank Maintenance &amp; Setup Costs | Excluded under regular health provisions |
| Mass Mortality Event Cover | Covered up to specified aquarium sum insured limits |</v>
      </c>
      <c r="K10"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A10 &amp; "") and its corresponding compliance specification in Column B ("" &amp; B10 &amp; ""), ensuring all descriptions remain entirely distinct without overlapping terminology."")"),"&lt;h2&gt;Mandatory Prerequisites for Fish Insurance in India&lt;/h2&gt;&lt;ul&gt;&lt;li&gt;Aquarium water quality test documentation verifying optimal chemical and environmental conditions&lt;/li&gt;&lt;li&gt;Veterinary health clearance certifying the absence of widespread aquatic parasite"&amp;"s or infectious diseases&lt;/li&gt;&lt;li&gt;Detailed registration of aquatic species along with tank capacity and ecosystem parameters&lt;/li&gt;&lt;li&gt;Pre-policy inspection report confirming properly maintained filtration and life-support systems&lt;/li&gt;&lt;/ul&gt;")</f>
        <v>&lt;h2&gt;Mandatory Prerequisites for Fish Insurance in India&lt;/h2&gt;&lt;ul&gt;&lt;li&gt;Aquarium water quality test documentation verifying optimal chemical and environmental conditions&lt;/li&gt;&lt;li&gt;Veterinary health clearance certifying the absence of widespread aquatic parasites or infectious diseases&lt;/li&gt;&lt;li&gt;Detailed registration of aquatic species along with tank capacity and ecosystem parameters&lt;/li&gt;&lt;li&gt;Pre-policy inspection report confirming properly maintained filtration and life-support systems&lt;/li&gt;&lt;/ul&gt;</v>
      </c>
      <c r="L10"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Fish Pet Insurance in India&lt;/h2&gt; What health issues does fish pet insurance cover in India? Fish pet insurance provides financial relief for aquatic disease treatments, accidental water contamination, and specialized a"&amp;"quatic vet consultations, while excluding routine tank maintenance and gross negligence. How are premiums calculated for aquatic species? Premium rates vary based on habitat setup, species rarity, total sum insured, and optional coverage add-ons chosen by"&amp;" the aquarist. What prerequisites must aquatic hobbyists satisfy before securing coverage? Applicants must submit aquarium water quality test reports, veterinary health clearances for aquatic parasites, species registration, and filtration system inspecti"&amp;"on reports.")</f>
        <v>&lt;h2&gt;Frequently Asked Questions About Fish Pet Insurance in India&lt;/h2&gt; What health issues does fish pet insurance cover in India? Fish pet insurance provides financial relief for aquatic disease treatments, accidental water contamination, and specialized aquatic vet consultations, while excluding routine tank maintenance and gross negligence. How are premiums calculated for aquatic species? Premium rates vary based on habitat setup, species rarity, total sum insured, and optional coverage add-ons chosen by the aquarist. What prerequisites must aquatic hobbyists satisfy before securing coverage? Applicants must submit aquarium water quality test reports, veterinary health clearances for aquatic parasites, species registration, and filtration system inspection reports.</v>
      </c>
    </row>
    <row r="11">
      <c r="A11" s="3" t="s">
        <v>12</v>
      </c>
      <c r="B11" s="3" t="s">
        <v>22</v>
      </c>
      <c r="C11" s="4" t="str">
        <f>IFERROR(__xludf.DUMMYFUNCTION("AI(""Act as an expert programmatic SEO copywriter. Write a unique, compelling SEO page title in the third-person tone for "" &amp; A11 &amp; "" in "" &amp; B11 &amp; "", ensuring no duplicate phrasings, filler words, or repetitive structural patterns across entries."")"),"Golden Retriever Pet Insurance: Coverage, Plans &amp; Medical Costs")</f>
        <v>Golden Retriever Pet Insurance: Coverage, Plans &amp; Medical Costs</v>
      </c>
      <c r="D11" s="4" t="str">
        <f>IFERROR(__xludf.DUMMYFUNCTION("AI(""Write a unique, third-person SEO meta description under 155 characters for a directory listing named "" &amp; A11 &amp; "" located in "" &amp; B11 &amp; "", highlighting its key offerings and local value proposition without using generic filler or duplicate phrasing"&amp;"."")"),"Explore Golden Retriever pet insurance in India. Find comprehensive plans covering hip dysplasia, cancer care, vet bills, and emergency surgeries.")</f>
        <v>Explore Golden Retriever pet insurance in India. Find comprehensive plans covering hip dysplasia, cancer care, vet bills, and emergency surgeries.</v>
      </c>
      <c r="E11" s="4" t="str">
        <f>IFERROR(__xludf.DUMMYFUNCTION("AI(""Write a unique and compelling third-person H1 tag for "" &amp; A11 &amp; "" in "" &amp; B11 &amp; "", ensuring no generic or duplicate phrasing across rows, using distinct modifiers based on local search intent, and keeping it under 65 characters."")"),"Best Golden Retriever Pet Insurance in India for Hip Care")</f>
        <v>Best Golden Retriever Pet Insurance in India for Hip Care</v>
      </c>
      <c r="F11" s="4" t="str">
        <f>IFERROR(__xludf.DUMMYFUNCTION("AI(""Write a unique, third-person introductory overview for row "" &amp; A11 &amp; "" in the "" &amp; B11 &amp; "" directory, highlighting its specific local distinctiveness, notable neighborhood context, and key destination appeal without using repetitive phrasing, gene"&amp;"ric templates, or cliché marketing filler."")"),"Pet insurance for Golden Retrievers offers tailored financial protection against breed-specific health risks, including hip dysplasia, cancer treatments, and hereditary conditions. Investing in comprehensive coverage allows owners to manage unexpected vet"&amp;"erinary expenses effectively while ensuring their Golden Retriever receives optimal care throughout every stage of life.")</f>
        <v>Pet insurance for Golden Retrievers offers tailored financial protection against breed-specific health risks, including hip dysplasia, cancer treatments, and hereditary conditions. Investing in comprehensive coverage allows owners to manage unexpected veterinary expenses effectively while ensuring their Golden Retriever receives optimal care throughout every stage of life.</v>
      </c>
      <c r="G11"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phrases."")"),"&lt;h2&gt;Golden Retriever Pet Insurance Plans&lt;/h2&gt;&lt;p&gt;Crafted specifically for Golden Retrievers in India, this targeted pet insurance plan helps owners manage high-cost treatments for breed-specific health conditions such as hip dysplasia and cancer therapies."&amp;" Comprehensive coverage ensures that these active, affectionate companions receive timely medical interventions and quality veterinary care throughout life.&lt;/p&gt;")</f>
        <v>&lt;h2&gt;Golden Retriever Pet Insurance Plans&lt;/h2&gt;&lt;p&gt;Crafted specifically for Golden Retrievers in India, this targeted pet insurance plan helps owners manage high-cost treatments for breed-specific health conditions such as hip dysplasia and cancer therapies. Comprehensive coverage ensures that these active, affectionate companions receive timely medical interventions and quality veterinary care throughout life.&lt;/p&gt;</v>
      </c>
      <c r="H11"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provider."")"),"&lt;h2&gt;Golden Retriever Health Insurance by ICICI Lombard&lt;/h2&gt;&lt;p&gt;ICICI Lombard General Insurance features specialized health coverage designed for Golden Retrievers in India, assisting owners with high costs related to breed-specific conditions like hip dysp"&amp;"lasia and specialized therapies. Pet parents can confidently manage unexpected veterinary bills while giving their affectionate companions top-tier medical care; read comprehensive coverage details directly on the official &lt;a href=""https://www.icicilomba"&amp;"rd.com""&gt;ICICI Lombard website&lt;/a&gt;.&lt;/p&gt;")</f>
        <v>&lt;h2&gt;Golden Retriever Health Insurance by ICICI Lombard&lt;/h2&gt;&lt;p&gt;ICICI Lombard General Insurance features specialized health coverage designed for Golden Retrievers in India, assisting owners with high costs related to breed-specific conditions like hip dysplasia and specialized therapies. Pet parents can confidently manage unexpected veterinary bills while giving their affectionate companions top-tier medical care; read comprehensive coverage details directly on the official &lt;a href="https://www.icicilombard.com"&gt;ICICI Lombard website&lt;/a&gt;.&lt;/p&gt;</v>
      </c>
      <c r="I11"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context."")"),"&lt;h2&gt;Golden Retriever Insurance Premiums and Renewals&lt;/h2&gt;&lt;p&gt;Pet insurance premium amounts for Golden Retrievers in India are calculated based on the dog's age, sum insured, and breed-specific health risks like hip dysplasia. Timely yearly renewal prevents"&amp;" policy lapse, ensuring continuous coverage for specialized treatments and retaining accrued No Claim Bonus discounts.&lt;/p&gt;| Policy Feature | Details |
| :--- | :--- |
| Sum Insured Range | ₹20,000 - ₹5,000,000 |
| Estimated Annual Premium | ₹4,000 - ₹18,0"&amp;"00 |
| Policy Tenure | 1 Year (Renewable annually) |
| Grace Period | 30 days from expiry |
| No Claim Bonus (NCB) | 5% to 20% discount on renewal |")</f>
        <v>&lt;h2&gt;Golden Retriever Insurance Premiums and Renewals&lt;/h2&gt;&lt;p&gt;Pet insurance premium amounts for Golden Retrievers in India are calculated based on the dog's age, sum insured, and breed-specific health risks like hip dysplasia. Timely yearly renewal prevents policy lapse, ensuring continuous coverage for specialized treatments and retaining accrued No Claim Bonus discounts.&lt;/p&gt;| Policy Feature | Details |
| :--- | :--- |
| Sum Insured Range | ₹20,000 - ₹5,000,000 |
| Estimated Annual Premium | ₹4,000 - ₹18,000 |
| Policy Tenure | 1 Year (Renewable annually) |
| Grace Period | 30 days from expiry |
| No Claim Bonus (NCB) | 5% to 20% discount on renewal |</v>
      </c>
      <c r="J11"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Canine Hip Dysplasia &amp; Joi"&amp;"nt Care | Covered post extended hereditary waiting period |
| Oncology Treatments &amp; Chemotherapy | Included under major illness hospitalization terms |
| Pre-Existing Breed Conditions | Excluded from standard baseline policies |
| Third-Party Personal Inj"&amp;"ury Liability | Standard inclusion for public liability claims |
| Routine Grooming &amp; Coat Maintenance | Excluded under standard healthcare coverage |
| Outpatient (OPD) Consultations | Optional rider coverage subject to sub-limits |
| Emergency Surgical "&amp;"Care &amp; Anesthesia | Fully covered for acute non-elective medical events |")</f>
        <v>&lt;h2&gt;Pet Insurance Coverage Inclusions and Exclusions in India&lt;/h2&gt;| Policy Component | Coverage Status &amp; Terms |
| :----------------------------------------- | :--------------------------------------------------------------- |
| Canine Hip Dysplasia &amp; Joint Care | Covered post extended hereditary waiting period |
| Oncology Treatments &amp; Chemotherapy | Included under major illness hospitalization terms |
| Pre-Existing Breed Conditions | Excluded from standard baseline policies |
| Third-Party Personal Injury Liability | Standard inclusion for public liability claims |
| Routine Grooming &amp; Coat Maintenance | Excluded under standard healthcare coverage |
| Outpatient (OPD) Consultations | Optional rider coverage subject to sub-limits |
| Emergency Surgical Care &amp; Anesthesia | Fully covered for acute non-elective medical events |</v>
      </c>
      <c r="K11"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A11 &amp; "") and its corresponding compliance specification in Column B ("" &amp; B11 &amp; ""), ensuring all descriptions remain entirely distinct without overlapping terminology."")"),"&lt;h2&gt;Mandatory Prerequisites for Golden Retriever Insurance in India&lt;/h2&gt;&lt;ul&gt;&lt;li&gt;Official pedigree registration or microchip tag verification for purebred identification&lt;/li&gt;&lt;li&gt;Complete vaccination records covering rabies, distemper, and parvovirus signed"&amp;" by a registered veterinarian&lt;/li&gt;&lt;li&gt;Age qualification check, generally accepting dogs between 8 weeks and 7 years of age&lt;/li&gt;&lt;li&gt;Pre-policy health screening certificate documenting hip and joint health status&lt;/li&gt;&lt;/ul&gt;")</f>
        <v>&lt;h2&gt;Mandatory Prerequisites for Golden Retriever Insurance in India&lt;/h2&gt;&lt;ul&gt;&lt;li&gt;Official pedigree registration or microchip tag verification for purebred identification&lt;/li&gt;&lt;li&gt;Complete vaccination records covering rabies, distemper, and parvovirus signed by a registered veterinarian&lt;/li&gt;&lt;li&gt;Age qualification check, generally accepting dogs between 8 weeks and 7 years of age&lt;/li&gt;&lt;li&gt;Pre-policy health screening certificate documenting hip and joint health status&lt;/li&gt;&lt;/ul&gt;</v>
      </c>
      <c r="L11"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Golden Retriever Insurance in India&lt;/h2&gt; What specific health conditions are covered under Golden Retriever insurance in India? Policies for Golden Retrievers cover breed-specific risks like hip dysplasia, oncology tre"&amp;"atments, emergency surgical care, and public liability, while excluding baseline pre-existing conditions. How are insurance premiums determined for Golden Retrievers? Annual premiums are based on the dog's age, sum insured, and hereditary risk factors, wi"&amp;"th No Claim Bonus discounts granted for timely renewals. What documents are required to enroll a Golden Retriever? Owners must provide pedigree registration or microchip tag details, up-to-date core vaccination certificates, and a pre-policy joint health "&amp;"screening report.")</f>
        <v>&lt;h2&gt;Frequently Asked Questions About Golden Retriever Insurance in India&lt;/h2&gt; What specific health conditions are covered under Golden Retriever insurance in India? Policies for Golden Retrievers cover breed-specific risks like hip dysplasia, oncology treatments, emergency surgical care, and public liability, while excluding baseline pre-existing conditions. How are insurance premiums determined for Golden Retrievers? Annual premiums are based on the dog's age, sum insured, and hereditary risk factors, with No Claim Bonus discounts granted for timely renewals. What documents are required to enroll a Golden Retriever? Owners must provide pedigree registration or microchip tag details, up-to-date core vaccination certificates, and a pre-policy joint health screening report.</v>
      </c>
    </row>
    <row r="12">
      <c r="A12" s="3" t="s">
        <v>12</v>
      </c>
      <c r="B12" s="3" t="s">
        <v>23</v>
      </c>
      <c r="C12" s="4" t="str">
        <f>IFERROR(__xludf.DUMMYFUNCTION("AI(""Act as an expert programmatic SEO copywriter. Write a unique, compelling SEO page title in the third-person tone for "" &amp; A12 &amp; "" in "" &amp; B12 &amp; "", ensuring no duplicate phrasings, filler words, or repetitive structural patterns across entries."")"),"German Shepherd Pet Insurance: Coverage, Costs &amp; Joint Care Plans")</f>
        <v>German Shepherd Pet Insurance: Coverage, Costs &amp; Joint Care Plans</v>
      </c>
      <c r="D12" s="4" t="str">
        <f>IFERROR(__xludf.DUMMYFUNCTION("AI(""Write a unique, third-person SEO meta description under 155 characters for a directory listing named "" &amp; A12 &amp; "" located in "" &amp; B12 &amp; "", highlighting its key offerings and local value proposition without using generic filler or duplicate phrasing"&amp;"."")"),"Explore German Shepherd pet insurance plans in India covering hip dysplasia, joint care, emergency surgery, and specialized veterinary care.")</f>
        <v>Explore German Shepherd pet insurance plans in India covering hip dysplasia, joint care, emergency surgery, and specialized veterinary care.</v>
      </c>
      <c r="E12" s="4" t="str">
        <f>IFERROR(__xludf.DUMMYFUNCTION("AI(""Write a unique and compelling third-person H1 tag for "" &amp; A12 &amp; "" in "" &amp; B12 &amp; "", ensuring no generic or duplicate phrasing across rows, using distinct modifiers based on local search intent, and keeping it under 65 characters."")"),"Top German Shepherd Insurance for Joint &amp; Emergency Care")</f>
        <v>Top German Shepherd Insurance for Joint &amp; Emergency Care</v>
      </c>
      <c r="F12" s="4" t="str">
        <f>IFERROR(__xludf.DUMMYFUNCTION("AI(""Write a unique, third-person introductory overview for row "" &amp; A12 &amp; "" in the "" &amp; B12 &amp; "" directory, highlighting its specific local distinctiveness, notable neighborhood context, and key destination appeal without using repetitive phrasing, gene"&amp;"ric templates, or cliché marketing filler."")"),"Pet insurance for German Shepherds offers targeted financial protection tailored to the unique health profile of this active, large breed, helping cover breed-specific conditions like hip dysplasia, joint issues, and unexpected emergency care. Securing sp"&amp;"ecialized coverage gives owners peace of mind, ensuring their loyal companions receive high-quality medical treatments and ongoing wellness support throughout every stage of life.")</f>
        <v>Pet insurance for German Shepherds offers targeted financial protection tailored to the unique health profile of this active, large breed, helping cover breed-specific conditions like hip dysplasia, joint issues, and unexpected emergency care. Securing specialized coverage gives owners peace of mind, ensuring their loyal companions receive high-quality medical treatments and ongoing wellness support throughout every stage of life.</v>
      </c>
      <c r="G12"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phrases."")"),"&lt;h2&gt;German Shepherd Pet Insurance Coverage&lt;/h2&gt;&lt;p&gt;Designed to address the distinct health profile of German Shepherds across India, this specialized pet insurance policy assists owners in covering emergency surgeries, joint treatments, and breed-specific "&amp;"health issues. Having reliable coverage gives pet parents peace of mind and access to top veterinary treatments during critical medical situations.&lt;/p&gt;")</f>
        <v>&lt;h2&gt;German Shepherd Pet Insurance Coverage&lt;/h2&gt;&lt;p&gt;Designed to address the distinct health profile of German Shepherds across India, this specialized pet insurance policy assists owners in covering emergency surgeries, joint treatments, and breed-specific health issues. Having reliable coverage gives pet parents peace of mind and access to top veterinary treatments during critical medical situations.&lt;/p&gt;</v>
      </c>
      <c r="H12"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provider."")"),"&lt;h2&gt;German Shepherd Pet Insurance by Bajaj Allianz&lt;/h2&gt;&lt;p&gt;Bajaj Allianz General Insurance offers specialized health plans tailored for German Shepherds in India, protecting active dogs against high veterinary costs, joint dysplasia treatments, and emergen"&amp;"cy surgical procedures. Pet owners can secure comprehensive coverage to manage lifelong medical needs and critical care at top veterinary clinics nationwide; explore complete policy details directly on the official &lt;a href=""https://www.bajajallianz.com"""&amp;"&gt;Bajaj Allianz website&lt;/a&gt;.&lt;/p&gt;")</f>
        <v>&lt;h2&gt;German Shepherd Pet Insurance by Bajaj Allianz&lt;/h2&gt;&lt;p&gt;Bajaj Allianz General Insurance offers specialized health plans tailored for German Shepherds in India, protecting active dogs against high veterinary costs, joint dysplasia treatments, and emergency surgical procedures. Pet owners can secure comprehensive coverage to manage lifelong medical needs and critical care at top veterinary clinics nationwide; explore complete policy details directly on the official &lt;a href="https://www.bajajallianz.com"&gt;Bajaj Allianz website&lt;/a&gt;.&lt;/p&gt;</v>
      </c>
      <c r="I12"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context."")"),"&lt;h2&gt;German Shepherd Insurance Premiums and Renewals&lt;/h2&gt;&lt;p&gt;Insurance premiums for German Shepherds in India depend on age, chosen sum insured, and predisposition to orthopedic and joint conditions. Ensuring timely annual renewals maintains uninterrupted p"&amp;"rotection for emergency surgeries and guarantees retention of cumulative renewal discounts.&lt;/p&gt;| Policy Feature | Details |
| :--- | :--- |
| Sum Insured Range | ₹25,000 - ₹5,000,000 |
| Estimated Annual Premium | ₹4,500 - ₹20,000 |
| Policy Tenure | 1 Ye"&amp;"ar (Renewable annually) |
| Grace Period | 30 days from expiry |
| No Claim Bonus (NCB) | 5% to 20% discount on renewal |")</f>
        <v>&lt;h2&gt;German Shepherd Insurance Premiums and Renewals&lt;/h2&gt;&lt;p&gt;Insurance premiums for German Shepherds in India depend on age, chosen sum insured, and predisposition to orthopedic and joint conditions. Ensuring timely annual renewals maintains uninterrupted protection for emergency surgeries and guarantees retention of cumulative renewal discounts.&lt;/p&gt;| Policy Feature | Details |
| :--- | :--- |
| Sum Insured Range | ₹25,000 - ₹5,000,000 |
| Estimated Annual Premium | ₹4,500 - ₹20,000 |
| Policy Tenure | 1 Year (Renewable annually) |
| Grace Period | 30 days from expiry |
| No Claim Bonus (NCB) | 5% to 20% discount on renewal |</v>
      </c>
      <c r="J12"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Orthopedic Surgery &amp; Dyspl"&amp;"asia Care | Covered following mandatory waiting tenure |
| Emergency Trauma &amp; Fracture Repair | Covered up to full base sum insured limit |
| Pre-Existing Musculoskeletal Issues | Excluded from standard policy coverage |
| Third-Party Property Damage Liab"&amp;"ility | Covered under standard public liability terms |
| Routine Vaccinations &amp; Tick Shield | Excluded under standard baseline policies |
| OPD Care &amp; Diagnostic Scans | Available via optional add-on rider |
| Major Emergency Surgery &amp; ICU Stays | Fully "&amp;"covered for non-elective critical events |")</f>
        <v>&lt;h2&gt;Pet Insurance Coverage Inclusions and Exclusions in India&lt;/h2&gt;| Policy Component | Coverage Status &amp; Terms |
| :----------------------------------------- | :--------------------------------------------------------------- |
| Orthopedic Surgery &amp; Dysplasia Care | Covered following mandatory waiting tenure |
| Emergency Trauma &amp; Fracture Repair | Covered up to full base sum insured limit |
| Pre-Existing Musculoskeletal Issues | Excluded from standard policy coverage |
| Third-Party Property Damage Liability | Covered under standard public liability terms |
| Routine Vaccinations &amp; Tick Shield | Excluded under standard baseline policies |
| OPD Care &amp; Diagnostic Scans | Available via optional add-on rider |
| Major Emergency Surgery &amp; ICU Stays | Fully covered for non-elective critical events |</v>
      </c>
      <c r="K12"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A12 &amp; "") and its corresponding compliance specification in Column B ("" &amp; B12 &amp; ""), ensuring all descriptions remain entirely distinct without overlapping terminology."")"),"&lt;h2&gt;Mandatory Prerequisites for German Shepherd Insurance in India&lt;/h2&gt;&lt;ul&gt;&lt;li&gt;Permanent microchip insertion or official kennel club registration code for verifiable identity verification&lt;/li&gt;&lt;li&gt;Complete immunization records validating active protection "&amp;"against rabies, parvovirus, and canine distemper&lt;/li&gt;&lt;li&gt;Strict age limit adherence, usually requiring enrollment between 8 weeks and 7 years of age&lt;/li&gt;&lt;li&gt;Pre-policy veterinary health certificate clearing the canine of existing orthopedic issues or seve"&amp;"re dysplasia&lt;/li&gt;&lt;/ul&gt;")</f>
        <v>&lt;h2&gt;Mandatory Prerequisites for German Shepherd Insurance in India&lt;/h2&gt;&lt;ul&gt;&lt;li&gt;Permanent microchip insertion or official kennel club registration code for verifiable identity verification&lt;/li&gt;&lt;li&gt;Complete immunization records validating active protection against rabies, parvovirus, and canine distemper&lt;/li&gt;&lt;li&gt;Strict age limit adherence, usually requiring enrollment between 8 weeks and 7 years of age&lt;/li&gt;&lt;li&gt;Pre-policy veterinary health certificate clearing the canine of existing orthopedic issues or severe dysplasia&lt;/li&gt;&lt;/ul&gt;</v>
      </c>
      <c r="L12"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German Shepherd Pet Insurance in India&lt;/h2&gt; What medical care is included in German Shepherd pet insurance in India? German Shepherd insurance includes coverage for orthopedic surgeries, emergency trauma repair, major "&amp;"ICU stays, and third-party property damage liability. How do insurers calculate premium rates for German Shepherds? Premiums are assessed based on age, selected sum insured limits, and predisposition to joint or musculoskeletal disorders. What prerequisit"&amp;"es are required prior to issuing a policy for a German Shepherd? Insurers mandate permanent microchip insertion, complete immunization records covering rabies and parvovirus, and a pre-policy veterinary clearance for joint health.")</f>
        <v>&lt;h2&gt;Frequently Asked Questions About German Shepherd Pet Insurance in India&lt;/h2&gt; What medical care is included in German Shepherd pet insurance in India? German Shepherd insurance includes coverage for orthopedic surgeries, emergency trauma repair, major ICU stays, and third-party property damage liability. How do insurers calculate premium rates for German Shepherds? Premiums are assessed based on age, selected sum insured limits, and predisposition to joint or musculoskeletal disorders. What prerequisites are required prior to issuing a policy for a German Shepherd? Insurers mandate permanent microchip insertion, complete immunization records covering rabies and parvovirus, and a pre-policy veterinary clearance for joint health.</v>
      </c>
    </row>
    <row r="13">
      <c r="A13" s="3" t="s">
        <v>12</v>
      </c>
      <c r="B13" s="3" t="s">
        <v>24</v>
      </c>
      <c r="C13" s="4" t="str">
        <f>IFERROR(__xludf.DUMMYFUNCTION("AI(""Act as an expert programmatic SEO copywriter. Write a unique, compelling SEO page title in the third-person tone for "" &amp; A13 &amp; "" in "" &amp; B13 &amp; "", ensuring no duplicate phrasings, filler words, or repetitive structural patterns across entries."")"),"Kennel Pet Insurance: Boarding Protection &amp; Coverage Options")</f>
        <v>Kennel Pet Insurance: Boarding Protection &amp; Coverage Options</v>
      </c>
      <c r="D13" s="4" t="str">
        <f>IFERROR(__xludf.DUMMYFUNCTION("AI(""Write a unique, third-person SEO meta description under 155 characters for a directory listing named "" &amp; A13 &amp; "" located in "" &amp; B13 &amp; "", highlighting its key offerings and local value proposition without using generic filler or duplicate phrasing"&amp;"."")"),"Protect pet boarding facilities in India with specialized kennel insurance. Cover emergency vet care, accidental injuries, and liability during extended stays.")</f>
        <v>Protect pet boarding facilities in India with specialized kennel insurance. Cover emergency vet care, accidental injuries, and liability during extended stays.</v>
      </c>
      <c r="E13" s="4" t="str">
        <f>IFERROR(__xludf.DUMMYFUNCTION("AI(""Write a unique and compelling third-person H1 tag for "" &amp; A13 &amp; "" in "" &amp; B13 &amp; "", ensuring no generic or duplicate phrasing across rows, using distinct modifiers based on local search intent, and keeping it under 65 characters."")"),"Top Kennel Pet Insurance Plans in India for Boarding Care")</f>
        <v>Top Kennel Pet Insurance Plans in India for Boarding Care</v>
      </c>
      <c r="F13" s="4" t="str">
        <f>IFERROR(__xludf.DUMMYFUNCTION("AI(""Write a unique, third-person introductory overview for row "" &amp; A13 &amp; "" in the "" &amp; B13 &amp; "" directory, highlighting its specific local distinctiveness, notable neighborhood context, and key destination appeal without using repetitive phrasing, gene"&amp;"ric templates, or cliché marketing filler."")"),"Pet insurance for kennels provides specialized financial protection for boarding facilities and pet owners during extended stays, covering unexpected injuries, illnesses, and emergency veterinary care. Securing tailored coverage ensures boarders and facil"&amp;"ity managers can mitigate unexpected medical expenses while prioritizing animal safety and wellbeing.")</f>
        <v>Pet insurance for kennels provides specialized financial protection for boarding facilities and pet owners during extended stays, covering unexpected injuries, illnesses, and emergency veterinary care. Securing tailored coverage ensures boarders and facility managers can mitigate unexpected medical expenses while prioritizing animal safety and wellbeing.</v>
      </c>
      <c r="G13"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phrases."")"),"&lt;h2&gt;Kennel and Boarding Pet Insurance Plans&lt;/h2&gt;&lt;p&gt;Tailored for boarding facilities and pet owners utilizing long-term stays in India, kennel insurance offers vital financial protection against sudden injuries, contagious illnesses, and emergency vet visi"&amp;"ts during stay periods. This coverage safeguards facilities and owners alike by managing unexpected healthcare costs efficiently.&lt;/p&gt;")</f>
        <v>&lt;h2&gt;Kennel and Boarding Pet Insurance Plans&lt;/h2&gt;&lt;p&gt;Tailored for boarding facilities and pet owners utilizing long-term stays in India, kennel insurance offers vital financial protection against sudden injuries, contagious illnesses, and emergency vet visits during stay periods. This coverage safeguards facilities and owners alike by managing unexpected healthcare costs efficiently.&lt;/p&gt;</v>
      </c>
      <c r="H13"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provider."")"),"&lt;h2&gt;Kennel and Boarding Pet Insurance by Digit Insurance&lt;/h2&gt;&lt;p&gt;Go Digit General Insurance provides dedicated protection for pet boarding facilities and long-term kennel stays across India, helping manage unexpected costs from contagious illnesses, sudden"&amp;" injuries, or emergency vet care. Facility operators and pet parents can safeguard their animals while ensuring continuous medical safety; find further plan features directly on the official &lt;a href=""https://www.godigit.com""&gt;Digit Insurance website&lt;/a&gt;."&amp;"&lt;/p&gt;")</f>
        <v>&lt;h2&gt;Kennel and Boarding Pet Insurance by Digit Insurance&lt;/h2&gt;&lt;p&gt;Go Digit General Insurance provides dedicated protection for pet boarding facilities and long-term kennel stays across India, helping manage unexpected costs from contagious illnesses, sudden injuries, or emergency vet care. Facility operators and pet parents can safeguard their animals while ensuring continuous medical safety; find further plan features directly on the official &lt;a href="https://www.godigit.com"&gt;Digit Insurance website&lt;/a&gt;.&lt;/p&gt;</v>
      </c>
      <c r="I13"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context."")"),"&lt;h2&gt;Kennel Insurance Premiums and Renewals&lt;/h2&gt;&lt;p&gt;Premium rates for kennel and pet boarding facility insurance in India are evaluated according to facility capacity, location, coverage scope, and liability limits. Maintaining regular annual renewals secur"&amp;"es uninterrupted commercial protection against sudden liability claims or facility-wide health emergencies.&lt;/p&gt;| Policy Feature | Details |
| :--- | :--- |
| Sum Insured Range | ₹50,000 - ₹10,000,000 |
| Estimated Annual Premium | ₹8,000 - ₹35,000 |
| Pol"&amp;"icy Tenure | 1 Year (Renewable annually) |
| Grace Period | 30 days from expiry |
| No Claim Bonus (NCB) | 5% to 25% discount on renewal |")</f>
        <v>&lt;h2&gt;Kennel Insurance Premiums and Renewals&lt;/h2&gt;&lt;p&gt;Premium rates for kennel and pet boarding facility insurance in India are evaluated according to facility capacity, location, coverage scope, and liability limits. Maintaining regular annual renewals secures uninterrupted commercial protection against sudden liability claims or facility-wide health emergencies.&lt;/p&gt;| Policy Feature | Details |
| :--- | :--- |
| Sum Insured Range | ₹50,000 - ₹10,000,000 |
| Estimated Annual Premium | ₹8,000 - ₹35,000 |
| Policy Tenure | 1 Year (Renewable annually) |
| Grace Period | 30 days from expiry |
| No Claim Bonus (NCB) | 5% to 25% discount on renewal |</v>
      </c>
      <c r="J13"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Boarding Facility Accident"&amp;"al Injury | Covered during registered stay periods |
| Contagious Disease Outbreak Expenses | Included subject to mandatory vaccination proofs |
| Pre-Boarding Pre-Existing Conditions | Excluded from boarding coverage scope |
| Commercial Facility Legal L"&amp;"iability | Standard inclusion for third-party injury claims |
| Emergency Pet Minding &amp; Vet Visits | Covered under specialized kennel riders |
| Routine Facility Boarding Fees | Excluded from basic medical reimbursement |
| Emergency Surgical Intervention"&amp;"s | Covered for critical illness or trauma during stay |")</f>
        <v>&lt;h2&gt;Pet Insurance Coverage Inclusions and Exclusions in India&lt;/h2&gt;| Policy Component | Coverage Status &amp; Terms |
| :----------------------------------------- | :--------------------------------------------------------------- |
| Boarding Facility Accidental Injury | Covered during registered stay periods |
| Contagious Disease Outbreak Expenses | Included subject to mandatory vaccination proofs |
| Pre-Boarding Pre-Existing Conditions | Excluded from boarding coverage scope |
| Commercial Facility Legal Liability | Standard inclusion for third-party injury claims |
| Emergency Pet Minding &amp; Vet Visits | Covered under specialized kennel riders |
| Routine Facility Boarding Fees | Excluded from basic medical reimbursement |
| Emergency Surgical Interventions | Covered for critical illness or trauma during stay |</v>
      </c>
      <c r="K13"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A13 &amp; "") and its corresponding compliance specification in Column B ("" &amp; B13 &amp; ""), ensuring all descriptions remain entirely distinct without overlapping terminology."")"),"&lt;h2&gt;Mandatory Prerequisites for Kennel Insurance in India&lt;/h2&gt;&lt;ul&gt;&lt;li&gt;Valid commercial licensing and official municipal registration for operating pet boarding facilities&lt;/li&gt;&lt;li&gt;Up-to-date health and vaccination records for every animal accepted into the"&amp;" facility&lt;/li&gt;&lt;li&gt;Routine sanitation, pest control, and hygiene maintenance logs across boarding enclosures&lt;/li&gt;&lt;li&gt;On-call access to accredited veterinary professionals for emergency medical assistance&lt;/li&gt;&lt;/ul&gt;")</f>
        <v>&lt;h2&gt;Mandatory Prerequisites for Kennel Insurance in India&lt;/h2&gt;&lt;ul&gt;&lt;li&gt;Valid commercial licensing and official municipal registration for operating pet boarding facilities&lt;/li&gt;&lt;li&gt;Up-to-date health and vaccination records for every animal accepted into the facility&lt;/li&gt;&lt;li&gt;Routine sanitation, pest control, and hygiene maintenance logs across boarding enclosures&lt;/li&gt;&lt;li&gt;On-call access to accredited veterinary professionals for emergency medical assistance&lt;/li&gt;&lt;/ul&gt;</v>
      </c>
      <c r="L13"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Kennel and Boarding Pet Insurance in India&lt;/h2&gt; What protection does kennel insurance provide in India? Kennel insurance protects boarding facilities and owners by covering accidental injuries during stays, contagious "&amp;"disease outbreak expenses, emergency vet visits, and facility legal liability. How are premium amounts structured for pet boarding facilities? Premiums are determined by facility capacity, geographic location, chosen liability coverage limits, and operati"&amp;"onal risk factors. What operational prerequisites must kennels meet to obtain coverage? Boarding operations must hold valid commercial licensing, maintain up-to-date guest vaccination records, keep strict sanitation logs, and secure on-call veterinary sup"&amp;"port.")</f>
        <v>&lt;h2&gt;Frequently Asked Questions About Kennel and Boarding Pet Insurance in India&lt;/h2&gt; What protection does kennel insurance provide in India? Kennel insurance protects boarding facilities and owners by covering accidental injuries during stays, contagious disease outbreak expenses, emergency vet visits, and facility legal liability. How are premium amounts structured for pet boarding facilities? Premiums are determined by facility capacity, geographic location, chosen liability coverage limits, and operational risk factors. What operational prerequisites must kennels meet to obtain coverage? Boarding operations must hold valid commercial licensing, maintain up-to-date guest vaccination records, keep strict sanitation logs, and secure on-call veterinary support.</v>
      </c>
    </row>
    <row r="14">
      <c r="A14" s="3" t="s">
        <v>12</v>
      </c>
      <c r="B14" s="3" t="s">
        <v>25</v>
      </c>
      <c r="C14" s="4" t="str">
        <f>IFERROR(__xludf.DUMMYFUNCTION("AI(""Act as an expert programmatic SEO copywriter. Write a unique, compelling SEO page title in the third-person tone for "" &amp; A14 &amp; "" in "" &amp; B14 &amp; "", ensuring no duplicate phrasings, filler words, or repetitive structural patterns across entries."")"),"Multi-Pet Insurance Plans: Multi-Animal Coverage &amp; Savings")</f>
        <v>Multi-Pet Insurance Plans: Multi-Animal Coverage &amp; Savings</v>
      </c>
      <c r="D14" s="4" t="str">
        <f>IFERROR(__xludf.DUMMYFUNCTION("AI(""Write a unique, third-person SEO meta description under 155 characters for a directory listing named "" &amp; A14 &amp; "" located in "" &amp; B14 &amp; "", highlighting its key offerings and local value proposition without using generic filler or duplicate phrasing"&amp;"."")"),"Explore multi-pet insurance in India. Protect all your pets under one plan, save with multi-pet discounts, and cover vet bills and emergency care.")</f>
        <v>Explore multi-pet insurance in India. Protect all your pets under one plan, save with multi-pet discounts, and cover vet bills and emergency care.</v>
      </c>
      <c r="E14" s="4" t="str">
        <f>IFERROR(__xludf.DUMMYFUNCTION("AI(""Write a unique and compelling third-person H1 tag for "" &amp; A14 &amp; "" in "" &amp; B14 &amp; "", ensuring no generic or duplicate phrasing across rows, using distinct modifiers based on local search intent, and keeping it under 65 characters."")"),"Best Multi-Pet Insurance Plans in India for Full Savings")</f>
        <v>Best Multi-Pet Insurance Plans in India for Full Savings</v>
      </c>
      <c r="F14" s="4" t="str">
        <f>IFERROR(__xludf.DUMMYFUNCTION("AI(""Write a unique, third-person introductory overview for row "" &amp; A14 &amp; "" in the "" &amp; B14 &amp; "" directory, highlighting its specific local distinctiveness, notable neighborhood context, and key destination appeal without using repetitive phrasing, gene"&amp;"ric templates, or cliché marketing filler."")"),"Pet insurance for multiple pets provides essential financial protection for multi-pet households, covering unexpected veterinary costs, accident care, routine wellness checks, and specialized treatments across several animals. Securing multi-pet coverage "&amp;"ensures owners can manage medical emergencies and long-term health needs efficiently while maximizing savings through multi-pet discounts.")</f>
        <v>Pet insurance for multiple pets provides essential financial protection for multi-pet households, covering unexpected veterinary costs, accident care, routine wellness checks, and specialized treatments across several animals. Securing multi-pet coverage ensures owners can manage medical emergencies and long-term health needs efficiently while maximizing savings through multi-pet discounts.</v>
      </c>
      <c r="G14"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phrases."")"),"&lt;h2&gt;Multi-Pet Insurance Plans and Discounts&lt;/h2&gt;&lt;p&gt;Ideal for multi-pet households across India, multi-pet insurance policies allow pet owners to consolidate coverage for multiple animals under one plan while enjoying valuable premium discounts. This cost-"&amp;"effective solution simplifies administrative hassle while ensuring comprehensive medical care for every furry companion in the home.&lt;/p&gt;")</f>
        <v>&lt;h2&gt;Multi-Pet Insurance Plans and Discounts&lt;/h2&gt;&lt;p&gt;Ideal for multi-pet households across India, multi-pet insurance policies allow pet owners to consolidate coverage for multiple animals under one plan while enjoying valuable premium discounts. This cost-effective solution simplifies administrative hassle while ensuring comprehensive medical care for every furry companion in the home.&lt;/p&gt;</v>
      </c>
      <c r="H14"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provider."")"),"&lt;h2&gt;Multi-Pet Insurance Plans by Future Generali&lt;/h2&gt;&lt;p&gt;Future Generali India Insurance delivers convenient multi-pet insurance options for households in India, enabling pet parents to protect several animals under a unified policy while enjoying discount"&amp;"ed premium rates. Consolidating coverage simplifies policy administration while maintaining robust medical protection for all family pets; review plan options directly on the official &lt;a href=""https://www.futuregenerali.in""&gt;Future Generali website&lt;/a&gt;.&lt;"&amp;"/p&gt;")</f>
        <v>&lt;h2&gt;Multi-Pet Insurance Plans by Future Generali&lt;/h2&gt;&lt;p&gt;Future Generali India Insurance delivers convenient multi-pet insurance options for households in India, enabling pet parents to protect several animals under a unified policy while enjoying discounted premium rates. Consolidating coverage simplifies policy administration while maintaining robust medical protection for all family pets; review plan options directly on the official &lt;a href="https://www.futuregenerali.in"&gt;Future Generali website&lt;/a&gt;.&lt;/p&gt;</v>
      </c>
      <c r="I14"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context."")"),"&lt;h2&gt;Multi-Pet Insurance Premiums and Renewals&lt;/h2&gt;&lt;p&gt;Multi-pet insurance premiums in India offer cost efficiencies by combining multiple animals under a single policy with applicable multi-pet discounts. Consolidating policy renewals under one annual sche"&amp;"dule simplifies administration while preserving comprehensive coverage and renewal benefits for all registered pets.&lt;/p&gt;| Policy Feature | Details |
| :--- | :--- |
| Sum Insured Range | ₹30,000 - ₹8,000,000 |
| Estimated Annual Premium | ₹5,000 - ₹25,000"&amp;" |
| Policy Tenure | 1 Year (Renewable annually) |
| Grace Period | 30 days from expiry |
| Multi-Pet Discount | 10% to 20% off total premium |")</f>
        <v>&lt;h2&gt;Multi-Pet Insurance Premiums and Renewals&lt;/h2&gt;&lt;p&gt;Multi-pet insurance premiums in India offer cost efficiencies by combining multiple animals under a single policy with applicable multi-pet discounts. Consolidating policy renewals under one annual schedule simplifies administration while preserving comprehensive coverage and renewal benefits for all registered pets.&lt;/p&gt;| Policy Feature | Details |
| :--- | :--- |
| Sum Insured Range | ₹30,000 - ₹8,000,000 |
| Estimated Annual Premium | ₹5,000 - ₹25,000 |
| Policy Tenure | 1 Year (Renewable annually) |
| Grace Period | 30 days from expiry |
| Multi-Pet Discount | 10% to 20% off total premium |</v>
      </c>
      <c r="J14"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Multi-Pet Accidental Hospi"&amp;"talization | Covered up to consolidated sum insured limits |
| Shared Policy Family Deductibles | Applied per registered pet claim event |
| Pre-Existing Individual Pet Conditions | Excluded across all registered animals |
| Multi-Pet Third-Party Liabilit"&amp;"y | Included for all active household pets |
| OPD &amp; Diagnostic Add-Ons | Available with unified multi-pet discount rates |
| Routine Grooming &amp; Cosmetic Care | Excluded under general healthcare terms |
| Emergency Surgical Operations | Fully covered for "&amp;"non-elective medical crises |")</f>
        <v>&lt;h2&gt;Pet Insurance Coverage Inclusions and Exclusions in India&lt;/h2&gt;| Policy Component | Coverage Status &amp; Terms |
| :----------------------------------------- | :--------------------------------------------------------------- |
| Multi-Pet Accidental Hospitalization | Covered up to consolidated sum insured limits |
| Shared Policy Family Deductibles | Applied per registered pet claim event |
| Pre-Existing Individual Pet Conditions | Excluded across all registered animals |
| Multi-Pet Third-Party Liability | Included for all active household pets |
| OPD &amp; Diagnostic Add-Ons | Available with unified multi-pet discount rates |
| Routine Grooming &amp; Cosmetic Care | Excluded under general healthcare terms |
| Emergency Surgical Operations | Fully covered for non-elective medical crises |</v>
      </c>
      <c r="K14"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A14 &amp; "") and its corresponding compliance specification in Column B ("" &amp; B14 &amp; ""), ensuring all descriptions remain entirely distinct without overlapping terminology."")"),"&lt;h2&gt;Mandatory Prerequisites for Multi-Pet Insurance in India&lt;/h2&gt;&lt;ul&gt;&lt;li&gt;Individual identification details including microchips, tags, or photo registration for each enrolled animal&lt;/li&gt;&lt;li&gt;Up-to-date core immunization records verified by a certified vete"&amp;"rinary practitioner for all pets in the household&lt;/li&gt;&lt;li&gt;Compliance with age threshold criteria for every pet included under the consolidated family policy&lt;/li&gt;&lt;li&gt;Baseline veterinary physical examination certificates verifying overall fitness for all co"&amp;"-insured animals&lt;/li&gt;&lt;/ul&gt;")</f>
        <v>&lt;h2&gt;Mandatory Prerequisites for Multi-Pet Insurance in India&lt;/h2&gt;&lt;ul&gt;&lt;li&gt;Individual identification details including microchips, tags, or photo registration for each enrolled animal&lt;/li&gt;&lt;li&gt;Up-to-date core immunization records verified by a certified veterinary practitioner for all pets in the household&lt;/li&gt;&lt;li&gt;Compliance with age threshold criteria for every pet included under the consolidated family policy&lt;/li&gt;&lt;li&gt;Baseline veterinary physical examination certificates verifying overall fitness for all co-insured animals&lt;/li&gt;&lt;/ul&gt;</v>
      </c>
      <c r="L14"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Multi-Pet Insurance in India&lt;/h2&gt; What benefits does a multi-pet insurance policy offer in India? Multi-pet plans allow households to insure several animals under one unified policy, providing combined accidental hospi"&amp;"talization, liability coverage, and multi-pet premium discounts. How are multi-pet insurance premiums and renewals managed? Premiums are consolidated into a single annual schedule with discounted total rates ranging from 10% to 20%, simplifying policy adm"&amp;"inistration. What conditions must be met to register multiple pets under one plan? Policyholders must provide individual microchip or photo identification, current vaccination records, and baseline fitness certificates for every enrolled animal.")</f>
        <v>&lt;h2&gt;Frequently Asked Questions About Multi-Pet Insurance in India&lt;/h2&gt; What benefits does a multi-pet insurance policy offer in India? Multi-pet plans allow households to insure several animals under one unified policy, providing combined accidental hospitalization, liability coverage, and multi-pet premium discounts. How are multi-pet insurance premiums and renewals managed? Premiums are consolidated into a single annual schedule with discounted total rates ranging from 10% to 20%, simplifying policy administration. What conditions must be met to register multiple pets under one plan? Policyholders must provide individual microchip or photo identification, current vaccination records, and baseline fitness certificates for every enrolled animal.</v>
      </c>
    </row>
    <row r="15">
      <c r="A15" s="3" t="s">
        <v>12</v>
      </c>
      <c r="B15" s="3" t="s">
        <v>26</v>
      </c>
      <c r="C15" s="4" t="str">
        <f>IFERROR(__xludf.DUMMYFUNCTION("AI(""Act as an expert programmatic SEO copywriter. Write a unique, compelling SEO page title in the third-person tone for "" &amp; A15 &amp; "" in "" &amp; B15 &amp; "", ensuring no duplicate phrasings, filler words, or repetitive structural patterns across entries."")"),"Pet Surgery Insurance: Coverage, Plans &amp; Medical Costs")</f>
        <v>Pet Surgery Insurance: Coverage, Plans &amp; Medical Costs</v>
      </c>
      <c r="D15" s="4" t="str">
        <f>IFERROR(__xludf.DUMMYFUNCTION("AI(""Write a unique, third-person SEO meta description under 155 characters for a directory listing named "" &amp; A15 &amp; "" located in "" &amp; B15 &amp; "", highlighting its key offerings and local value proposition without using generic filler or duplicate phrasing"&amp;"."")"),"Find pet surgery insurance in India. Compare plans covering emergency operations, anesthesia, and post-op care to keep treatments affordable.")</f>
        <v>Find pet surgery insurance in India. Compare plans covering emergency operations, anesthesia, and post-op care to keep treatments affordable.</v>
      </c>
      <c r="E15" s="4" t="str">
        <f>IFERROR(__xludf.DUMMYFUNCTION("AI(""Write a unique and compelling third-person H1 tag for "" &amp; A15 &amp; "" in "" &amp; B15 &amp; "", ensuring no generic or duplicate phrasing across rows, using distinct modifiers based on local search intent, and keeping it under 65 characters."")"),"Best Pet Surgery Insurance in India for Operation Care")</f>
        <v>Best Pet Surgery Insurance in India for Operation Care</v>
      </c>
      <c r="F15" s="4" t="str">
        <f>IFERROR(__xludf.DUMMYFUNCTION("AI(""Write a unique, third-person introductory overview for row "" &amp; A15 &amp; "" in the "" &amp; B15 &amp; "" directory, highlighting its specific local distinctiveness, notable neighborhood context, and key destination appeal without using repetitive phrasing, gene"&amp;"ric templates, or cliché marketing filler."")"),"Pet insurance for surgical procedures offers vital financial support to owners facing major veterinary operations, covering costs associated with emergency surgery, pre-operative testing, anesthesia, and post-operative care. Obtaining comprehensive surgic"&amp;"al coverage helps pet owners manage high medical expenses during critical health crises, ensuring pets receive prompt and essential surgical treatment without financial strain.")</f>
        <v>Pet insurance for surgical procedures offers vital financial support to owners facing major veterinary operations, covering costs associated with emergency surgery, pre-operative testing, anesthesia, and post-operative care. Obtaining comprehensive surgical coverage helps pet owners manage high medical expenses during critical health crises, ensuring pets receive prompt and essential surgical treatment without financial strain.</v>
      </c>
      <c r="G15"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phrases."")"),"&lt;h2&gt;Surgical Procedure Pet Insurance Coverage&lt;/h2&gt;&lt;p&gt;Created to alleviate the significant costs associated with major veterinary operations in India, surgical pet insurance covers pre-operative testing, anesthesia, critical surgery, and post-operative rec"&amp;"overy. Obtaining this dedicated policy helps pet owners manage urgent medical crises without facing sudden, overwhelming financial strain.&lt;/p&gt;")</f>
        <v>&lt;h2&gt;Surgical Procedure Pet Insurance Coverage&lt;/h2&gt;&lt;p&gt;Created to alleviate the significant costs associated with major veterinary operations in India, surgical pet insurance covers pre-operative testing, anesthesia, critical surgery, and post-operative recovery. Obtaining this dedicated policy helps pet owners manage urgent medical crises without facing sudden, overwhelming financial strain.&lt;/p&gt;</v>
      </c>
      <c r="H15"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provider."")"),"&lt;h2&gt;Surgical Pet Insurance Coverage by SBI General Insurance&lt;/h2&gt;&lt;p&gt;SBI General Insurance supplies reliable surgical procedure coverage for pets in India, offsetting expensive bills associated with major veterinary operations, anesthesia, diagnostic tests"&amp;", and post-operative recovery. Obtaining dedicated surgical protection helps pet owners handle critical health emergencies without facing sudden financial distress; learn more about policy terms directly on the official &lt;a href=""https://www.sbigeneral.in"&amp;"""&gt;SBI General Insurance website&lt;/a&gt;.&lt;/p&gt;")</f>
        <v>&lt;h2&gt;Surgical Pet Insurance Coverage by SBI General Insurance&lt;/h2&gt;&lt;p&gt;SBI General Insurance supplies reliable surgical procedure coverage for pets in India, offsetting expensive bills associated with major veterinary operations, anesthesia, diagnostic tests, and post-operative recovery. Obtaining dedicated surgical protection helps pet owners handle critical health emergencies without facing sudden financial distress; learn more about policy terms directly on the official &lt;a href="https://www.sbigeneral.in"&gt;SBI General Insurance website&lt;/a&gt;.&lt;/p&gt;</v>
      </c>
      <c r="I15"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context."")"),"&lt;h2&gt;Surgical Pet Insurance Premiums and Renewals&lt;/h2&gt;&lt;p&gt;Premium costs for dedicated surgical pet insurance in India reflect selected claim limits, pet age, and pre-existing health profile. Continuous annual renewal ensures active coverage for critical pre"&amp;"- and post-operative surgical expenses without triggering new waiting period exclusions.&lt;/p&gt;| Policy Feature | Details |
| :--- | :--- |
| Sum Insured Range | ₹20,000 - ₹4,000,000 |
| Estimated Annual Premium | ₹3,500 - ₹16,000 |
| Policy Tenure | 1 Year "&amp;"(Renewable annually) |
| Grace Period | 30 days from expiry |
| No Claim Bonus (NCB) | 5% to 20% discount on renewal |")</f>
        <v>&lt;h2&gt;Surgical Pet Insurance Premiums and Renewals&lt;/h2&gt;&lt;p&gt;Premium costs for dedicated surgical pet insurance in India reflect selected claim limits, pet age, and pre-existing health profile. Continuous annual renewal ensures active coverage for critical pre- and post-operative surgical expenses without triggering new waiting period exclusions.&lt;/p&gt;| Policy Feature | Details |
| :--- | :--- |
| Sum Insured Range | ₹20,000 - ₹4,000,000 |
| Estimated Annual Premium | ₹3,500 - ₹16,000 |
| Policy Tenure | 1 Year (Renewable annually) |
| Grace Period | 30 days from expiry |
| No Claim Bonus (NCB) | 5% to 20% discount on renewal |</v>
      </c>
      <c r="J15"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Inpatient Surgery &amp; Anesth"&amp;"esia Fees | Fully covered up to maximum claim sub-limits |
| Pre- and Post-Operative Consultations | Covered within specific timeframes around surgery |
| Elective &amp; Cosmetic Surgeries | Excluded unless medically required post-accident |
| Pre-Existing Su"&amp;"rgical Conditions | Excluded from surgical benefit scope |
| Diagnostic Imaging &amp; Bloodwork | Included as part of surgical preparation |
| Experimental Surgical Procedures | Excluded under standard medical guidelines |
| Intensive Care &amp; Hospitalization |"&amp;" Covered during post-surgical recovery periods |")</f>
        <v>&lt;h2&gt;Pet Insurance Coverage Inclusions and Exclusions in India&lt;/h2&gt;| Policy Component | Coverage Status &amp; Terms |
| :----------------------------------------- | :--------------------------------------------------------------- |
| Inpatient Surgery &amp; Anesthesia Fees | Fully covered up to maximum claim sub-limits |
| Pre- and Post-Operative Consultations | Covered within specific timeframes around surgery |
| Elective &amp; Cosmetic Surgeries | Excluded unless medically required post-accident |
| Pre-Existing Surgical Conditions | Excluded from surgical benefit scope |
| Diagnostic Imaging &amp; Bloodwork | Included as part of surgical preparation |
| Experimental Surgical Procedures | Excluded under standard medical guidelines |
| Intensive Care &amp; Hospitalization | Covered during post-surgical recovery periods |</v>
      </c>
      <c r="K15"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A15 &amp; "") and its corresponding compliance specification in Column B ("" &amp; B15 &amp; ""), ensuring all descriptions remain entirely distinct without overlapping terminology."")"),"&lt;h2&gt;Mandatory Prerequisites for Surgical Pet Insurance in India&lt;/h2&gt;&lt;ul&gt;&lt;li&gt;Pre-operative diagnostic assessment confirming the medical necessity of the surgical intervention&lt;/li&gt;&lt;li&gt;Complete veterinary health examination and medical history clearance prio"&amp;"r to scheduling surgery&lt;/li&gt;&lt;li&gt;Up-to-date core vaccination records certified by a registered veterinary practitioner&lt;/li&gt;&lt;li&gt;Official pet identification documentation, such as microchip registration or tag credentials&lt;/li&gt;&lt;/ul&gt;")</f>
        <v>&lt;h2&gt;Mandatory Prerequisites for Surgical Pet Insurance in India&lt;/h2&gt;&lt;ul&gt;&lt;li&gt;Pre-operative diagnostic assessment confirming the medical necessity of the surgical intervention&lt;/li&gt;&lt;li&gt;Complete veterinary health examination and medical history clearance prior to scheduling surgery&lt;/li&gt;&lt;li&gt;Up-to-date core vaccination records certified by a registered veterinary practitioner&lt;/li&gt;&lt;li&gt;Official pet identification documentation, such as microchip registration or tag credentials&lt;/li&gt;&lt;/ul&gt;</v>
      </c>
      <c r="L15"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Surgical Pet Insurance in India&lt;/h2&gt; What costs are reimbursed under surgical pet insurance policies in India? Surgical pet insurance covers pre-operative testing, inpatient anesthesia, major non-elective surgical proc"&amp;"edures, diagnostic imaging, and post-operative recovery care. How are premiums evaluated for surgical coverage plans? Premium rates depend on the selected claim limit, the pet's age, and existing medical profile, with discounts awarded for annual renewals"&amp;" without claims. What prerequisites must be satisfied prior to undergoing covered surgery? Insurers require a pre-operative diagnostic assessment proving medical necessity, complete veterinary history clearance, valid pet identification, and updated vacci"&amp;"nation proofs.")</f>
        <v>&lt;h2&gt;Frequently Asked Questions About Surgical Pet Insurance in India&lt;/h2&gt; What costs are reimbursed under surgical pet insurance policies in India? Surgical pet insurance covers pre-operative testing, inpatient anesthesia, major non-elective surgical procedures, diagnostic imaging, and post-operative recovery care. How are premiums evaluated for surgical coverage plans? Premium rates depend on the selected claim limit, the pet's age, and existing medical profile, with discounts awarded for annual renewals without claims. What prerequisites must be satisfied prior to undergoing covered surgery? Insurers require a pre-operative diagnostic assessment proving medical necessity, complete veterinary history clearance, valid pet identification, and updated vaccination proofs.</v>
      </c>
    </row>
    <row r="16">
      <c r="A16" s="3" t="s">
        <v>12</v>
      </c>
      <c r="B16" s="3" t="s">
        <v>27</v>
      </c>
      <c r="C16" s="4" t="str">
        <f>IFERROR(__xludf.DUMMYFUNCTION("AI(""Act as an expert programmatic SEO copywriter. Write a unique, compelling SEO page title in the third-person tone for "" &amp; A16 &amp; "" in "" &amp; B16 &amp; "", ensuring no duplicate phrasings, filler words, or repetitive structural patterns across entries."")"),"Labrador Pet Insurance: Coverage, Health Plans &amp; Costs")</f>
        <v>Labrador Pet Insurance: Coverage, Health Plans &amp; Costs</v>
      </c>
      <c r="D16" s="4" t="str">
        <f>IFERROR(__xludf.DUMMYFUNCTION("AI(""Write a unique, third-person SEO meta description under 155 characters for a directory listing named "" &amp; A16 &amp; "" located in "" &amp; B16 &amp; "", highlighting its key offerings and local value proposition without using generic filler or duplicate phrasing"&amp;"."")"),"Explore Labrador pet insurance plans in India covering joint dysplasia, surgeries, and emergency vet care to protect your retriever's health.")</f>
        <v>Explore Labrador pet insurance plans in India covering joint dysplasia, surgeries, and emergency vet care to protect your retriever's health.</v>
      </c>
      <c r="E16" s="4" t="str">
        <f>IFERROR(__xludf.DUMMYFUNCTION("AI(""Write a unique and compelling third-person H1 tag for "" &amp; A16 &amp; "" in "" &amp; B16 &amp; "", ensuring no generic or duplicate phrasing across rows, using distinct modifiers based on local search intent, and keeping it under 65 characters."")"),"Best Labrador Pet Insurance Plans in India for Retrievers")</f>
        <v>Best Labrador Pet Insurance Plans in India for Retrievers</v>
      </c>
      <c r="F16" s="4" t="str">
        <f>IFERROR(__xludf.DUMMYFUNCTION("AI(""Write a unique, third-person introductory overview for row "" &amp; A16 &amp; "" in the "" &amp; B16 &amp; "" directory, highlighting its specific local distinctiveness, notable neighborhood context, and key destination appeal without using repetitive phrasing, gene"&amp;"ric templates, or cliché marketing filler."")"),"Pet insurance for Labradors offers tailored financial protection designed to cover breed-specific health risks, including joint dysplasia, routine veterinary care, and unexpected emergency treatments. Securing dedicated coverage helps owners confidently m"&amp;"anage high-cost surgeries and ongoing care while protecting their companion's long-term mobility and health.")</f>
        <v>Pet insurance for Labradors offers tailored financial protection designed to cover breed-specific health risks, including joint dysplasia, routine veterinary care, and unexpected emergency treatments. Securing dedicated coverage helps owners confidently manage high-cost surgeries and ongoing care while protecting their companion's long-term mobility and health.</v>
      </c>
      <c r="G16"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phrases."")"),"&lt;h2&gt;Labrador Retriever Pet Insurance Solutions&lt;/h2&gt;&lt;p&gt;Engineered for Labradors in India, this breed-tailored pet insurance plan helps manage expenses related to joint dysplasia, accidental injuries, and essential surgical interventions. Securing dedicated"&amp;" coverage ensures these energetic companions receive prompt emergency treatment and long-term wellness care at leading clinics.&lt;/p&gt;")</f>
        <v>&lt;h2&gt;Labrador Retriever Pet Insurance Solutions&lt;/h2&gt;&lt;p&gt;Engineered for Labradors in India, this breed-tailored pet insurance plan helps manage expenses related to joint dysplasia, accidental injuries, and essential surgical interventions. Securing dedicated coverage ensures these energetic companions receive prompt emergency treatment and long-term wellness care at leading clinics.&lt;/p&gt;</v>
      </c>
      <c r="H16"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provider."")"),"&lt;h2&gt;Labrador Retriever Insurance by ICICI Lombard&lt;/h2&gt;&lt;p&gt;ICICI Lombard General Insurance offers tailored health insurance for Labradors across India, assisting owners with medical costs for breed-prone conditions like hip dysplasia, accidental trauma, and"&amp;" routine clinic visits. Dedicated coverage helps families ensure their energetic companions receive immediate emergency treatments and ongoing wellness support; read complete details directly on the official &lt;a href=""https://www.icicilombard.com""&gt;ICICI "&amp;"Lombard website&lt;/a&gt;.&lt;/p&gt;")</f>
        <v>&lt;h2&gt;Labrador Retriever Insurance by ICICI Lombard&lt;/h2&gt;&lt;p&gt;ICICI Lombard General Insurance offers tailored health insurance for Labradors across India, assisting owners with medical costs for breed-prone conditions like hip dysplasia, accidental trauma, and routine clinic visits. Dedicated coverage helps families ensure their energetic companions receive immediate emergency treatments and ongoing wellness support; read complete details directly on the official &lt;a href="https://www.icicilombard.com"&gt;ICICI Lombard website&lt;/a&gt;.&lt;/p&gt;</v>
      </c>
      <c r="I16"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context."")"),"&lt;h2&gt;Labrador Insurance Premiums and Renewals&lt;/h2&gt;&lt;p&gt;Pet insurance premium amounts for Labradors in India depend on factors such as age, sum insured, and breed-prone conditions like hip dysplasia. Timely annual renewal ensures continuous policy coverage fo"&amp;"r specialized treatments and preserves cumulative No Claim Bonus discounts.&lt;/p&gt;| Policy Feature | Details |
| :--- | :--- |
| Sum Insured Range | ₹20,000 - ₹5,000,000 |
| Estimated Annual Premium | ₹4,000 - ₹18,000 |
| Policy Tenure | 1 Year (Renewable an"&amp;"nually) |
| Grace Period | 30 days from expiry |
| No Claim Bonus (NCB) | 5% to 20% discount on renewal |")</f>
        <v>&lt;h2&gt;Labrador Insurance Premiums and Renewals&lt;/h2&gt;&lt;p&gt;Pet insurance premium amounts for Labradors in India depend on factors such as age, sum insured, and breed-prone conditions like hip dysplasia. Timely annual renewal ensures continuous policy coverage for specialized treatments and preserves cumulative No Claim Bonus discounts.&lt;/p&gt;| Policy Feature | Details |
| :--- | :--- |
| Sum Insured Range | ₹20,000 - ₹5,000,000 |
| Estimated Annual Premium | ₹4,000 - ₹18,000 |
| Policy Tenure | 1 Year (Renewable annually) |
| Grace Period | 30 days from expiry |
| No Claim Bonus (NCB) | 5% to 20% discount on renewal |</v>
      </c>
      <c r="J16"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Canine Joint &amp; Hip Dysplas"&amp;"ia Surgery | Covered after completing standard waiting period |
| Accidental Ingestion &amp; Emergency Surgery | Covered up to primary sum insured limits |
| Pre-Existing Hereditary Conditions | Excluded from baseline policy coverage |
| Third-Party Liability"&amp;" Coverage | Standard inclusion for accidental injury or damage |
| Routine Weight Management &amp; Diet | Excluded under general wellness terms |
| OPD Diagnostics &amp; Medications | Optional rider coverage subject to annual capping |
| Non-Elective Emergency Ho"&amp;"spitalization | Fully covered for acute medical situations |")</f>
        <v>&lt;h2&gt;Pet Insurance Coverage Inclusions and Exclusions in India&lt;/h2&gt;| Policy Component | Coverage Status &amp; Terms |
| :----------------------------------------- | :--------------------------------------------------------------- |
| Canine Joint &amp; Hip Dysplasia Surgery | Covered after completing standard waiting period |
| Accidental Ingestion &amp; Emergency Surgery | Covered up to primary sum insured limits |
| Pre-Existing Hereditary Conditions | Excluded from baseline policy coverage |
| Third-Party Liability Coverage | Standard inclusion for accidental injury or damage |
| Routine Weight Management &amp; Diet | Excluded under general wellness terms |
| OPD Diagnostics &amp; Medications | Optional rider coverage subject to annual capping |
| Non-Elective Emergency Hospitalization | Fully covered for acute medical situations |</v>
      </c>
      <c r="K16"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A16 &amp; "") and its corresponding compliance specification in Column B ("" &amp; B16 &amp; ""), ensuring all descriptions remain entirely distinct without overlapping terminology."")"),"&lt;h2&gt;Mandatory Prerequisites for Labrador Insurance in India&lt;/h2&gt;&lt;ul&gt;&lt;li&gt;Official microchip insertion or kennel club registration tag for accurate retriever identification&lt;/li&gt;&lt;li&gt;Complete record of core immunizations signed by a certified Indian veterinar"&amp;"y surgeon&lt;/li&gt;&lt;li&gt;Age qualification verification, generally accepting Labradors between 8 weeks and 7 years of age&lt;/li&gt;&lt;li&gt;Pre-policy veterinary health examination certifying freedom from severe pre-existing joint or congenital conditions&lt;/li&gt;&lt;/ul&gt;")</f>
        <v>&lt;h2&gt;Mandatory Prerequisites for Labrador Insurance in India&lt;/h2&gt;&lt;ul&gt;&lt;li&gt;Official microchip insertion or kennel club registration tag for accurate retriever identification&lt;/li&gt;&lt;li&gt;Complete record of core immunizations signed by a certified Indian veterinary surgeon&lt;/li&gt;&lt;li&gt;Age qualification verification, generally accepting Labradors between 8 weeks and 7 years of age&lt;/li&gt;&lt;li&gt;Pre-policy veterinary health examination certifying freedom from severe pre-existing joint or congenital conditions&lt;/li&gt;&lt;/ul&gt;</v>
      </c>
      <c r="L16"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Labrador Retriever Insurance in India&lt;/h2&gt; What expenses does Labrador Retriever pet insurance cover in India? Labrador policies cover joint dysplasia surgical treatment, accidental ingestion care, emergency hospitaliz"&amp;"ation, and third-party liability, while excluding routine dietary management. How are premium rates established for Labradors? Premium amounts are computed according to age, chosen sum insured, and predisposition to retriever-specific joint and mobility c"&amp;"onditions. What pre-enrollment steps are mandatory for Labrador insurance? Applicants must submit microchip or kennel registration codes, complete core vaccination records signed by a licensed vet, and a pre-policy health examination certificate.")</f>
        <v>&lt;h2&gt;Frequently Asked Questions About Labrador Retriever Insurance in India&lt;/h2&gt; What expenses does Labrador Retriever pet insurance cover in India? Labrador policies cover joint dysplasia surgical treatment, accidental ingestion care, emergency hospitalization, and third-party liability, while excluding routine dietary management. How are premium rates established for Labradors? Premium amounts are computed according to age, chosen sum insured, and predisposition to retriever-specific joint and mobility conditions. What pre-enrollment steps are mandatory for Labrador insurance? Applicants must submit microchip or kennel registration codes, complete core vaccination records signed by a licensed vet, and a pre-policy health examination certificate.</v>
      </c>
    </row>
    <row r="17">
      <c r="A17" s="3" t="s">
        <v>12</v>
      </c>
      <c r="B17" s="3" t="s">
        <v>28</v>
      </c>
      <c r="C17" s="4" t="str">
        <f>IFERROR(__xludf.DUMMYFUNCTION("AI(""Act as an expert programmatic SEO copywriter. Write a unique, compelling SEO page title in the third-person tone for "" &amp; A17 &amp; "" in "" &amp; B17 &amp; "", ensuring no duplicate phrasings, filler words, or repetitive structural patterns across entries."")"),"Unvaccinated Dog Pet Insurance: Coverage, Prerequisites &amp; Costs")</f>
        <v>Unvaccinated Dog Pet Insurance: Coverage, Prerequisites &amp; Costs</v>
      </c>
      <c r="D17" s="4" t="str">
        <f>IFERROR(__xludf.DUMMYFUNCTION("AI(""Write a unique, third-person SEO meta description under 155 characters for a directory listing named "" &amp; A17 &amp; "" located in "" &amp; B17 &amp; "", highlighting its key offerings and local value proposition without using generic filler or duplicate phrasing"&amp;"."")"),"Explore pet insurance for unvaccinated dogs in India. Compare coverage for accidental injuries, emergency surgeries, and non-preventable care.")</f>
        <v>Explore pet insurance for unvaccinated dogs in India. Compare coverage for accidental injuries, emergency surgeries, and non-preventable care.</v>
      </c>
      <c r="E17" s="4" t="str">
        <f>IFERROR(__xludf.DUMMYFUNCTION("AI(""Write a unique and compelling third-person H1 tag for "" &amp; A17 &amp; "" in "" &amp; B17 &amp; "", ensuring no generic or duplicate phrasing across rows, using distinct modifiers based on local search intent, and keeping it under 65 characters."")"),"Essential Pet Insurance for Unvaccinated Dogs in India")</f>
        <v>Essential Pet Insurance for Unvaccinated Dogs in India</v>
      </c>
      <c r="F17" s="4" t="str">
        <f>IFERROR(__xludf.DUMMYFUNCTION("AI(""Write a unique, third-person introductory overview for row "" &amp; A17 &amp; "" in the "" &amp; B17 &amp; "" directory, highlighting its specific local distinctiveness, notable neighborhood context, and key destination appeal without using repetitive phrasing, gene"&amp;"ric templates, or cliché marketing filler."")"),"Pet insurance for unvaccinated dogs provides critical financial protection for pet owners, helping manage unexpected emergency veterinary costs, accidental injuries, and sudden illnesses. Although coverage may exclude preventable diseases until required v"&amp;"accinations are completed, securing a policy ensures dogs receive essential medical treatment when unexpected health complications arise.")</f>
        <v>Pet insurance for unvaccinated dogs provides critical financial protection for pet owners, helping manage unexpected emergency veterinary costs, accidental injuries, and sudden illnesses. Although coverage may exclude preventable diseases until required vaccinations are completed, securing a policy ensures dogs receive essential medical treatment when unexpected health complications arise.</v>
      </c>
      <c r="G17"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phrases."")"),"&lt;h2&gt;Pet Insurance Plans for Unvaccinated Dogs&lt;/h2&gt;&lt;p&gt;Structured for canine companions awaiting complete vaccination records in India, this insurance coverage offers crucial financial safeguards against sudden injuries, accidental ingestions, and non-preve"&amp;"ntable emergency medical conditions. It allows dog owners to handle unexpected vet bills effectively while fulfilling primary health prerequisites.&lt;/p&gt;")</f>
        <v>&lt;h2&gt;Pet Insurance Plans for Unvaccinated Dogs&lt;/h2&gt;&lt;p&gt;Structured for canine companions awaiting complete vaccination records in India, this insurance coverage offers crucial financial safeguards against sudden injuries, accidental ingestions, and non-preventable emergency medical conditions. It allows dog owners to handle unexpected vet bills effectively while fulfilling primary health prerequisites.&lt;/p&gt;</v>
      </c>
      <c r="H17"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provider."")"),"&lt;h2&gt;Unvaccinated Dog Insurance by Reliance General Insurance&lt;/h2&gt;&lt;p&gt;Reliance General Insurance provides flexible pet insurance policies for unvaccinated dogs in India, offering essential financial protection against non-preventable emergency conditions, t"&amp;"rauma, and sudden accidents. Pet parents can manage unexpected veterinary fees effectively while completing primary vaccination schedules; discover further policy information directly on the official &lt;a href=""https://www.reliancegeneral.co.in""&gt;Reliance "&amp;"General Insurance website&lt;/a&gt;.&lt;/p&gt;")</f>
        <v>&lt;h2&gt;Unvaccinated Dog Insurance by Reliance General Insurance&lt;/h2&gt;&lt;p&gt;Reliance General Insurance provides flexible pet insurance policies for unvaccinated dogs in India, offering essential financial protection against non-preventable emergency conditions, trauma, and sudden accidents. Pet parents can manage unexpected veterinary fees effectively while completing primary vaccination schedules; discover further policy information directly on the official &lt;a href="https://www.reliancegeneral.co.in"&gt;Reliance General Insurance website&lt;/a&gt;.&lt;/p&gt;</v>
      </c>
      <c r="I17"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context."")"),"&lt;h2&gt;Unvaccinated Dog Insurance Premiums and Renewals&lt;/h2&gt;&lt;p&gt;Premiums for unvaccinated dog insurance in India are determined by age, selected sum insured, and risk evaluation prior to full vaccination. Maintaining prompt annual renewal helps secure ongoing"&amp;" financial protection against non-preventable illnesses and accidents while completing mandatory vaccination schedules.&lt;/p&gt;| Policy Feature | Details |
| :--- | :--- |
| Sum Insured Range | ₹15,000 - ₹3,000,000 |
| Estimated Annual Premium | ₹3,000 - ₹12,"&amp;"000 |
| Policy Tenure | 1 Year (Renewable annually) |
| Grace Period | 30 days from expiry |
| No Claim Bonus (NCB) | 5% to 15% discount on renewal |")</f>
        <v>&lt;h2&gt;Unvaccinated Dog Insurance Premiums and Renewals&lt;/h2&gt;&lt;p&gt;Premiums for unvaccinated dog insurance in India are determined by age, selected sum insured, and risk evaluation prior to full vaccination. Maintaining prompt annual renewal helps secure ongoing financial protection against non-preventable illnesses and accidents while completing mandatory vaccination schedules.&lt;/p&gt;| Policy Feature | Details |
| :--- | :--- |
| Sum Insured Range | ₹15,000 - ₹3,000,000 |
| Estimated Annual Premium | ₹3,000 - ₹12,000 |
| Policy Tenure | 1 Year (Renewable annually) |
| Grace Period | 30 days from expiry |
| No Claim Bonus (NCB) | 5% to 15% discount on renewal |</v>
      </c>
      <c r="J17"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Accidental Injury &amp; Trauma"&amp;" Care | Covered immediately from policy inception |
| Vaccine-Preventable Contagious Diseases | Excluded until full immunization schedule completion |
| Pre-Existing Non-Vaccine Illnesses | Excluded from baseline coverage scope |
| Third-Party Legal Liabi"&amp;"lity Claims | Included for public liability and damage |
| Emergency Surgical Intervention | Covered for non-preventable emergency conditions |
| Routine Immunization Costs | Excluded unless specific wellness rider is added |
| Outpatient Injury Treatment"&amp;"s | Available under optional OPD rider coverage |")</f>
        <v>&lt;h2&gt;Pet Insurance Coverage Inclusions and Exclusions in India&lt;/h2&gt;| Policy Component | Coverage Status &amp; Terms |
| :----------------------------------------- | :--------------------------------------------------------------- |
| Accidental Injury &amp; Trauma Care | Covered immediately from policy inception |
| Vaccine-Preventable Contagious Diseases | Excluded until full immunization schedule completion |
| Pre-Existing Non-Vaccine Illnesses | Excluded from baseline coverage scope |
| Third-Party Legal Liability Claims | Included for public liability and damage |
| Emergency Surgical Intervention | Covered for non-preventable emergency conditions |
| Routine Immunization Costs | Excluded unless specific wellness rider is added |
| Outpatient Injury Treatments | Available under optional OPD rider coverage |</v>
      </c>
      <c r="K17"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A17 &amp; "") and its corresponding compliance specification in Column B ("" &amp; B17 &amp; ""), ensuring all descriptions remain entirely distinct without overlapping terminology."")"),"&lt;h2&gt;Mandatory Prerequisites for Unvaccinated Dog Insurance in India&lt;/h2&gt;&lt;ul&gt;&lt;li&gt;Microchip identification or registered identity tag for official canine tracking&lt;/li&gt;&lt;li&gt;Comprehensive baseline veterinary health check report certifying overall pre-policy fi"&amp;"tness&lt;/li&gt;&lt;li&gt;Compliance with standard age eligibility limits, usually ranging from 8 weeks to 8 years&lt;/li&gt;&lt;li&gt;Formal agreement to complete primary vaccination schedules within specified policy timelines&lt;/li&gt;&lt;/ul&gt;")</f>
        <v>&lt;h2&gt;Mandatory Prerequisites for Unvaccinated Dog Insurance in India&lt;/h2&gt;&lt;ul&gt;&lt;li&gt;Microchip identification or registered identity tag for official canine tracking&lt;/li&gt;&lt;li&gt;Comprehensive baseline veterinary health check report certifying overall pre-policy fitness&lt;/li&gt;&lt;li&gt;Compliance with standard age eligibility limits, usually ranging from 8 weeks to 8 years&lt;/li&gt;&lt;li&gt;Formal agreement to complete primary vaccination schedules within specified policy timelines&lt;/li&gt;&lt;/ul&gt;</v>
      </c>
      <c r="L17"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Unvaccinated Dog Insurance in India&lt;/h2&gt; What health events are covered for unvaccinated dogs in India? Insurance for unvaccinated dogs covers immediate accidental trauma, emergency non-preventable surgical care, and p"&amp;"ublic liability, while strictly excluding vaccine-preventable contagious diseases. How are premiums structured for dogs awaiting vaccination? Premiums are based on age, sum insured, and pre-policy risk assessments, with prompt renewals helping maintain fi"&amp;"nancial safeguards while immunization is completed. What prerequisites must dog owners fulfill to secure coverage? Owners must furnish microchip identification, a baseline veterinary checkup report, and a formal commitment to complete primary vaccination "&amp;"schedules within set policy timelines.")</f>
        <v>&lt;h2&gt;Frequently Asked Questions About Unvaccinated Dog Insurance in India&lt;/h2&gt; What health events are covered for unvaccinated dogs in India? Insurance for unvaccinated dogs covers immediate accidental trauma, emergency non-preventable surgical care, and public liability, while strictly excluding vaccine-preventable contagious diseases. How are premiums structured for dogs awaiting vaccination? Premiums are based on age, sum insured, and pre-policy risk assessments, with prompt renewals helping maintain financial safeguards while immunization is completed. What prerequisites must dog owners fulfill to secure coverage? Owners must furnish microchip identification, a baseline veterinary checkup report, and a formal commitment to complete primary vaccination schedules within set policy timelines.</v>
      </c>
    </row>
    <row r="18">
      <c r="A18" s="3" t="s">
        <v>12</v>
      </c>
      <c r="B18" s="3" t="s">
        <v>29</v>
      </c>
      <c r="C18" s="4" t="str">
        <f>IFERROR(__xludf.DUMMYFUNCTION("AI(""Act as an expert programmatic SEO copywriter. Write a unique, compelling SEO page title in the third-person tone for "" &amp; A18 &amp; "" in "" &amp; B18 &amp; "", ensuring no duplicate phrasings, filler words, or repetitive structural patterns across entries."")"),"Pet Insurance for Unvaccinated Cats: Coverage, Costs &amp; Emergency Care")</f>
        <v>Pet Insurance for Unvaccinated Cats: Coverage, Costs &amp; Emergency Care</v>
      </c>
      <c r="D18" s="4" t="str">
        <f>IFERROR(__xludf.DUMMYFUNCTION("AI(""Write a unique, third-person SEO meta description under 155 characters for a directory listing named "" &amp; A18 &amp; "" located in "" &amp; B18 &amp; "", highlighting its key offerings and local value proposition without using generic filler or duplicate phrasing"&amp;"."")"),"Explore pet insurance for unvaccinated cats in India. Secure coverage for emergency trauma, acute care, and surgeries to safeguard your cat's health.")</f>
        <v>Explore pet insurance for unvaccinated cats in India. Secure coverage for emergency trauma, acute care, and surgeries to safeguard your cat's health.</v>
      </c>
      <c r="E18" s="4" t="str">
        <f>IFERROR(__xludf.DUMMYFUNCTION("AI(""Write a unique and compelling third-person H1 tag for "" &amp; A18 &amp; "" in "" &amp; B18 &amp; "", ensuring no generic or duplicate phrasing across rows, using distinct modifiers based on local search intent, and keeping it under 65 characters."")"),"Unvaccinated Cat Insurance in India for Emergency Care")</f>
        <v>Unvaccinated Cat Insurance in India for Emergency Care</v>
      </c>
      <c r="F18" s="4" t="str">
        <f>IFERROR(__xludf.DUMMYFUNCTION("AI(""Write a unique, third-person introductory overview for row "" &amp; A18 &amp; "" in the "" &amp; B18 &amp; "" directory, highlighting its specific local distinctiveness, notable neighborhood context, and key destination appeal without using repetitive phrasing, gene"&amp;"ric templates, or cliché marketing filler."")"),"Pet insurance for unvaccinated cats offers crucial financial protection for feline owners, helping manage unexpected medical costs, emergency treatments, and illness care. Securing specialized coverage enables cat owners to navigate vet expenses effective"&amp;"ly while safeguarding their pet's health, even without a complete vaccination history.")</f>
        <v>Pet insurance for unvaccinated cats offers crucial financial protection for feline owners, helping manage unexpected medical costs, emergency treatments, and illness care. Securing specialized coverage enables cat owners to navigate vet expenses effectively while safeguarding their pet's health, even without a complete vaccination history.</v>
      </c>
      <c r="G18"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phrases."")"),"&lt;h2&gt;Pet Insurance Coverage for Unvaccinated Cats&lt;/h2&gt;&lt;p&gt;Designed for feline owners in India whose pets have pending vaccination schedules, this plan provides essential financial relief for unexpected emergency care, trauma treatments, and acute illnesses."&amp;" Having tailored coverage ensures cat owners can navigate sudden veterinary expenses confidently while supporting overall feline health.&lt;/p&gt;")</f>
        <v>&lt;h2&gt;Pet Insurance Coverage for Unvaccinated Cats&lt;/h2&gt;&lt;p&gt;Designed for feline owners in India whose pets have pending vaccination schedules, this plan provides essential financial relief for unexpected emergency care, trauma treatments, and acute illnesses. Having tailored coverage ensures cat owners can navigate sudden veterinary expenses confidently while supporting overall feline health.&lt;/p&gt;</v>
      </c>
      <c r="H18"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provider."")"),"&lt;h2&gt;Unvaccinated Cat Insurance by HDFC ERGO&lt;/h2&gt;&lt;p&gt;HDFC ERGO General Insurance presents specialized health coverage for unvaccinated cats in India, helping feline owners navigate urgent vet expenses, trauma treatments, and acute illness care. Having tailo"&amp;"red financial protection ensures cat owners can provide critical medical support during unexpected emergencies; explore comprehensive coverage options directly on the official &lt;a href=""https://www.hdfcergo.com""&gt;HDFC ERGO website&lt;/a&gt;.&lt;/p&gt;")</f>
        <v>&lt;h2&gt;Unvaccinated Cat Insurance by HDFC ERGO&lt;/h2&gt;&lt;p&gt;HDFC ERGO General Insurance presents specialized health coverage for unvaccinated cats in India, helping feline owners navigate urgent vet expenses, trauma treatments, and acute illness care. Having tailored financial protection ensures cat owners can provide critical medical support during unexpected emergencies; explore comprehensive coverage options directly on the official &lt;a href="https://www.hdfcergo.com"&gt;HDFC ERGO website&lt;/a&gt;.&lt;/p&gt;</v>
      </c>
      <c r="I18"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context."")"),"&lt;h2&gt;Unvaccinated Cat Insurance Premiums and Renewals&lt;/h2&gt;&lt;p&gt;Pet insurance premiums for unvaccinated cats in India vary according to breed, age, sum insured, and basic health assessments. Regular yearly renewal ensures unbroken coverage for sudden trauma a"&amp;"nd non-vaccine-preventable medical emergencies while pet owners complete primary immunization requirements.&lt;/p&gt;| Policy Feature | Details |
| :--- | :--- |
| Sum Insured Range | ₹10,000 - ₹2,500,000 |
| Estimated Annual Premium | ₹2,500 - ₹10,000 |
| Poli"&amp;"cy Tenure | 1 Year (Renewable annually) |
| Grace Period | 30 days from expiry |
| No Claim Bonus (NCB) | 5% to 15% discount on renewal |")</f>
        <v>&lt;h2&gt;Unvaccinated Cat Insurance Premiums and Renewals&lt;/h2&gt;&lt;p&gt;Pet insurance premiums for unvaccinated cats in India vary according to breed, age, sum insured, and basic health assessments. Regular yearly renewal ensures unbroken coverage for sudden trauma and non-vaccine-preventable medical emergencies while pet owners complete primary immunization requirements.&lt;/p&gt;| Policy Feature | Details |
| :--- | :--- |
| Sum Insured Range | ₹10,000 - ₹2,500,000 |
| Estimated Annual Premium | ₹2,500 - ₹10,000 |
| Policy Tenure | 1 Year (Renewable annually) |
| Grace Period | 30 days from expiry |
| No Claim Bonus (NCB) | 5% to 15% discount on renewal |</v>
      </c>
      <c r="J18"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Accidental Trauma &amp; Fractu"&amp;"res | Covered immediately upon policy inception |
| Vaccine-Preventable Feline Diseases | Excluded pending verified primary vaccination |
| Pre-Existing Feline Health Issues | Excluded from basic coverage terms |
| Third-Party Property Damage Liability | "&amp;"Covered for feline-related third-party damage |
| Emergency Surgical Care | Covered for acute non-vaccine-preventable emergencies |
| Routine Feline Vaccinations | Excluded under standard health coverage |
| Emergency Outpatient Consultations | Optional a"&amp;"dd-on coverage subject to sub-limits |")</f>
        <v>&lt;h2&gt;Pet Insurance Coverage Inclusions and Exclusions in India&lt;/h2&gt;| Policy Component | Coverage Status &amp; Terms |
| :----------------------------------------- | :--------------------------------------------------------------- |
| Accidental Trauma &amp; Fractures | Covered immediately upon policy inception |
| Vaccine-Preventable Feline Diseases | Excluded pending verified primary vaccination |
| Pre-Existing Feline Health Issues | Excluded from basic coverage terms |
| Third-Party Property Damage Liability | Covered for feline-related third-party damage |
| Emergency Surgical Care | Covered for acute non-vaccine-preventable emergencies |
| Routine Feline Vaccinations | Excluded under standard health coverage |
| Emergency Outpatient Consultations | Optional add-on coverage subject to sub-limits |</v>
      </c>
      <c r="K18"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A18 &amp; "") and its corresponding compliance specification in Column B ("" &amp; B18 &amp; ""), ensuring all descriptions remain entirely distinct without overlapping terminology."")"),"&lt;h2&gt;Mandatory Prerequisites for Unvaccinated Cat Insurance in India&lt;/h2&gt;&lt;ul&gt;&lt;li&gt;Official microchip insertion or unique collar tag for permanent feline identification&lt;/li&gt;&lt;li&gt;Completion of a standard veterinary health assessment confirming the absence of a"&amp;"cute pre-existing ailments&lt;/li&gt;&lt;li&gt;Adherence to age enrollment boundaries, generally ranging between 8 weeks and 8 years at policy purchase&lt;/li&gt;&lt;li&gt;Formal commitment to complete required primary feline immunizations within the stipulated post-policy timef"&amp;"rame&lt;/li&gt;&lt;/ul&gt;")</f>
        <v>&lt;h2&gt;Mandatory Prerequisites for Unvaccinated Cat Insurance in India&lt;/h2&gt;&lt;ul&gt;&lt;li&gt;Official microchip insertion or unique collar tag for permanent feline identification&lt;/li&gt;&lt;li&gt;Completion of a standard veterinary health assessment confirming the absence of acute pre-existing ailments&lt;/li&gt;&lt;li&gt;Adherence to age enrollment boundaries, generally ranging between 8 weeks and 8 years at policy purchase&lt;/li&gt;&lt;li&gt;Formal commitment to complete required primary feline immunizations within the stipulated post-policy timeframe&lt;/li&gt;&lt;/ul&gt;</v>
      </c>
      <c r="L18"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Unvaccinated Cat Insurance in India&lt;/h2&gt; What medical treatments are covered under unvaccinated cat insurance in India? Unvaccinated cat plans cover accidental physical trauma, emergency non-vaccine-preventable surgeri"&amp;"es, acute illness care, and third-party property damage. How are premium costs calculated for unvaccinated cats? Annual premiums depend on feline breed, age, overall sum insured, and basic pre-policy health evaluations. What requirements must feline owner"&amp;"s meet to obtain a policy? Applicants must provide microchip or tag details, pass a standard veterinary health assessment, and agree to fulfill mandatory primary feline immunizations within specified timelines.")</f>
        <v>&lt;h2&gt;Frequently Asked Questions About Unvaccinated Cat Insurance in India&lt;/h2&gt; What medical treatments are covered under unvaccinated cat insurance in India? Unvaccinated cat plans cover accidental physical trauma, emergency non-vaccine-preventable surgeries, acute illness care, and third-party property damage. How are premium costs calculated for unvaccinated cats? Annual premiums depend on feline breed, age, overall sum insured, and basic pre-policy health evaluations. What requirements must feline owners meet to obtain a policy? Applicants must provide microchip or tag details, pass a standard veterinary health assessment, and agree to fulfill mandatory primary feline immunizations within specified timelines.</v>
      </c>
    </row>
    <row r="19">
      <c r="A19" s="3" t="s">
        <v>12</v>
      </c>
      <c r="B19" s="3" t="s">
        <v>30</v>
      </c>
      <c r="C19" s="4" t="str">
        <f>IFERROR(__xludf.DUMMYFUNCTION("AI(""Act as an expert programmatic SEO copywriter. Write a unique, compelling SEO page title in the third-person tone for "" &amp; A19 &amp; "" in "" &amp; B19 &amp; "", ensuring no duplicate phrasings, filler words, or repetitive structural patterns across entries."")"),"Pet Insurance for Vet Bills: Coverage, Claims &amp; Costs")</f>
        <v>Pet Insurance for Vet Bills: Coverage, Claims &amp; Costs</v>
      </c>
      <c r="D19" s="4" t="str">
        <f>IFERROR(__xludf.DUMMYFUNCTION("AI(""Write a unique, third-person SEO meta description under 155 characters for a directory listing named "" &amp; A19 &amp; "" located in "" &amp; B19 &amp; "", highlighting its key offerings and local value proposition without using generic filler or duplicate phrasing"&amp;"."")"),"Explore pet insurance for vet bills in India. Compare top plans covering emergency care, diagnostics, and prescriptions to offset medical costs.")</f>
        <v>Explore pet insurance for vet bills in India. Compare top plans covering emergency care, diagnostics, and prescriptions to offset medical costs.</v>
      </c>
      <c r="E19" s="4" t="str">
        <f>IFERROR(__xludf.DUMMYFUNCTION("AI(""Write a unique and compelling third-person H1 tag for "" &amp; A19 &amp; "" in "" &amp; B19 &amp; "", ensuring no generic or duplicate phrasing across rows, using distinct modifiers based on local search intent, and keeping it under 65 characters."")"),"Comprehensive Vet Bill Insurance for Pets in India")</f>
        <v>Comprehensive Vet Bill Insurance for Pets in India</v>
      </c>
      <c r="F19" s="4" t="str">
        <f>IFERROR(__xludf.DUMMYFUNCTION("AI(""Write a unique, third-person introductory overview for row "" &amp; A19 &amp; "" in the "" &amp; B19 &amp; "" directory, highlighting its specific local distinctiveness, notable neighborhood context, and key destination appeal without using repetitive phrasing, gene"&amp;"ric templates, or cliché marketing filler."")"),"Pet insurance for vet bills offers vital financial support to pet owners, helping offset the rising costs of unexpected medical care, diagnostic testing, emergency treatments, and ongoing prescription medications. Maintaining coverage for veterinary expen"&amp;"ses allows owners to prioritize their pet's health and recovery without the burden of sudden out-of-pocket medical fees.")</f>
        <v>Pet insurance for vet bills offers vital financial support to pet owners, helping offset the rising costs of unexpected medical care, diagnostic testing, emergency treatments, and ongoing prescription medications. Maintaining coverage for veterinary expenses allows owners to prioritize their pet's health and recovery without the burden of sudden out-of-pocket medical fees.</v>
      </c>
      <c r="G19"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phrases."")"),"&lt;h2&gt;Veterinary Bill Reimbursement Pet Insurance&lt;/h2&gt;&lt;p&gt;Formulated to shield pet parents across India from escalating healthcare expenses, vet bill insurance provides robust reimbursement options for emergency treatments, diagnostic tests, and prescription"&amp;" medications. This policy enables families to prioritize immediate medical care for their pets without experiencing severe out-of-pocket financial distress.&lt;/p&gt;")</f>
        <v>&lt;h2&gt;Veterinary Bill Reimbursement Pet Insurance&lt;/h2&gt;&lt;p&gt;Formulated to shield pet parents across India from escalating healthcare expenses, vet bill insurance provides robust reimbursement options for emergency treatments, diagnostic tests, and prescription medications. This policy enables families to prioritize immediate medical care for their pets without experiencing severe out-of-pocket financial distress.&lt;/p&gt;</v>
      </c>
      <c r="H19"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provider."")"),"&lt;h2&gt;Veterinary Bill Reimbursement by Chola MS&lt;/h2&gt;&lt;p&gt;Chola MS General Insurance delivers robust vet bill reimbursement plans for pet owners across India, shielding families from escalating costs related to emergency treatments, diagnostic tests, and presc"&amp;"ribed drugs. Securing coverage allows owners to prioritize immediate medical interventions for their pets without experiencing severe financial strain; check complete plan benefits directly on the official &lt;a href=""https://www.cholainsurance.com""&gt;Chola "&amp;"MS website&lt;/a&gt;.&lt;/p&gt;")</f>
        <v>&lt;h2&gt;Veterinary Bill Reimbursement by Chola MS&lt;/h2&gt;&lt;p&gt;Chola MS General Insurance delivers robust vet bill reimbursement plans for pet owners across India, shielding families from escalating costs related to emergency treatments, diagnostic tests, and prescribed drugs. Securing coverage allows owners to prioritize immediate medical interventions for their pets without experiencing severe financial strain; check complete plan benefits directly on the official &lt;a href="https://www.cholainsurance.com"&gt;Chola MS website&lt;/a&gt;.&lt;/p&gt;</v>
      </c>
      <c r="I19"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context."")"),"&lt;h2&gt;Veterinary Bill Insurance Premiums and Renewals&lt;/h2&gt;&lt;p&gt;Premiums for veterinary bill reimbursement insurance in India are based on chosen co-pay percentages, sum insured, and overall coverage scope. Renewing the policy annually without interruption saf"&amp;"eguards pet parents against rising clinical costs and diagnostic fees while retaining accrued renewal discounts.&lt;/p&gt;| Policy Feature | Details |
| :--- | :--- |
| Sum Insured Range | ₹15,000 - ₹4,000,000 |
| Estimated Annual Premium | ₹3,200 - ₹15,000 |
|"&amp;" Policy Tenure | 1 Year (Renewable annually) |
| Grace Period | 30 days from expiry |
| No Claim Bonus (NCB) | 5% to 20% discount on renewal |")</f>
        <v>&lt;h2&gt;Veterinary Bill Insurance Premiums and Renewals&lt;/h2&gt;&lt;p&gt;Premiums for veterinary bill reimbursement insurance in India are based on chosen co-pay percentages, sum insured, and overall coverage scope. Renewing the policy annually without interruption safeguards pet parents against rising clinical costs and diagnostic fees while retaining accrued renewal discounts.&lt;/p&gt;| Policy Feature | Details |
| :--- | :--- |
| Sum Insured Range | ₹15,000 - ₹4,000,000 |
| Estimated Annual Premium | ₹3,200 - ₹15,000 |
| Policy Tenure | 1 Year (Renewable annually) |
| Grace Period | 30 days from expiry |
| No Claim Bonus (NCB) | 5% to 20% discount on renewal |</v>
      </c>
      <c r="J19"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Inpatient Vet Hospitalizat"&amp;"ion Bills | Reimbursed up to base sum insured limit |
| Prescription Drugs &amp; Diagnostic Scans | Reimbursed under medical treatment coverage |
| Pre-Existing Vet Visit History | Excluded from reimbursement claims |
| Outpatient (OPD) Consultation Fees | Re"&amp;"imbursed via optional OPD add-on rider |
| Routine Dental Cleaning &amp; Wellness | Excluded from basic vet bill plans |
| Emergency Surgical &amp; ICU Expenses | Fully covered for non-elective medical crises |
| Third-Party Legal Liability Expenses | Covered inc"&amp;"luding legal defense reimbursement |")</f>
        <v>&lt;h2&gt;Pet Insurance Coverage Inclusions and Exclusions in India&lt;/h2&gt;| Policy Component | Coverage Status &amp; Terms |
| :----------------------------------------- | :--------------------------------------------------------------- |
| Inpatient Vet Hospitalization Bills | Reimbursed up to base sum insured limit |
| Prescription Drugs &amp; Diagnostic Scans | Reimbursed under medical treatment coverage |
| Pre-Existing Vet Visit History | Excluded from reimbursement claims |
| Outpatient (OPD) Consultation Fees | Reimbursed via optional OPD add-on rider |
| Routine Dental Cleaning &amp; Wellness | Excluded from basic vet bill plans |
| Emergency Surgical &amp; ICU Expenses | Fully covered for non-elective medical crises |
| Third-Party Legal Liability Expenses | Covered including legal defense reimbursement |</v>
      </c>
      <c r="K19"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A19 &amp; "") and its corresponding compliance specification in Column B ("" &amp; B19 &amp; ""), ensuring all descriptions remain entirely distinct without overlapping terminology."")"),"&lt;h2&gt;Mandatory Prerequisites for Veterinary Bill Coverage in India&lt;/h2&gt;&lt;ul&gt;&lt;li&gt;Submission of itemized veterinary invoices and detailed clinical treatment summaries&lt;/li&gt;&lt;li&gt;Verification of consultations by a licensed and registered veterinary practitioner&lt;/"&amp;"li&gt;&lt;li&gt;Proof of pre-existing health assessment prior to policy enrollment&lt;/li&gt;&lt;li&gt;Compliance with mandatory policy waiting periods before submitting reimbursement requests&lt;/li&gt;&lt;/ul&gt;")</f>
        <v>&lt;h2&gt;Mandatory Prerequisites for Veterinary Bill Coverage in India&lt;/h2&gt;&lt;ul&gt;&lt;li&gt;Submission of itemized veterinary invoices and detailed clinical treatment summaries&lt;/li&gt;&lt;li&gt;Verification of consultations by a licensed and registered veterinary practitioner&lt;/li&gt;&lt;li&gt;Proof of pre-existing health assessment prior to policy enrollment&lt;/li&gt;&lt;li&gt;Compliance with mandatory policy waiting periods before submitting reimbursement requests&lt;/li&gt;&lt;/ul&gt;</v>
      </c>
      <c r="L19"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Veterinary Bill Insurance in India&lt;/h2&gt; What expenses are eligible for reimbursement under veterinary bill insurance in India? Veterinary bill reimbursement covers inpatient clinical stays, prescription medications, em"&amp;"ergency surgeries, diagnostic laboratory scans, and legal defense costs. How do co-pay choices and coverage limits affect premium costs? Premiums are determined by selected co-pay percentages, maximum sum insured caps, and optional OPD riders, with unbrok"&amp;"en renewals preserving cumulative discounts. What documents are necessary to process a veterinary bill reimbursement claim? Policyholders must submit itemized clinical invoices, detailed treatment summaries from licensed veterinarians, pre-policy health r"&amp;"ecords, and adhere to waiting period rules.")</f>
        <v>&lt;h2&gt;Frequently Asked Questions About Veterinary Bill Insurance in India&lt;/h2&gt; What expenses are eligible for reimbursement under veterinary bill insurance in India? Veterinary bill reimbursement covers inpatient clinical stays, prescription medications, emergency surgeries, diagnostic laboratory scans, and legal defense costs. How do co-pay choices and coverage limits affect premium costs? Premiums are determined by selected co-pay percentages, maximum sum insured caps, and optional OPD riders, with unbroken renewals preserving cumulative discounts. What documents are necessary to process a veterinary bill reimbursement claim? Policyholders must submit itemized clinical invoices, detailed treatment summaries from licensed veterinarians, pre-policy health records, and adhere to waiting period rules.</v>
      </c>
    </row>
    <row r="20">
      <c r="A20" s="3" t="s">
        <v>12</v>
      </c>
      <c r="B20" s="3" t="s">
        <v>31</v>
      </c>
      <c r="C20" s="4" t="str">
        <f>IFERROR(__xludf.DUMMYFUNCTION("AI(""Act as an expert programmatic SEO copywriter. Write a unique, compelling SEO page title in the third-person tone for "" &amp; A20 &amp; "" in "" &amp; B20 &amp; "", ensuring no duplicate phrasings, filler words, or repetitive structural patterns across entries."")"),"Young Dog &amp; Puppy Pet Insurance: Plans, Coverage &amp; Costs")</f>
        <v>Young Dog &amp; Puppy Pet Insurance: Plans, Coverage &amp; Costs</v>
      </c>
      <c r="D20" s="4" t="str">
        <f>IFERROR(__xludf.DUMMYFUNCTION("AI(""Write a unique, third-person SEO meta description under 155 characters for a directory listing named "" &amp; A20 &amp; "" located in "" &amp; B20 &amp; "", highlighting its key offerings and local value proposition without using generic filler or duplicate phrasing"&amp;"."")"),"Explore top pet insurance for young dogs and puppies in India. Find plans covering accidental ingestions, juvenile injuries, and emergency vet care.")</f>
        <v>Explore top pet insurance for young dogs and puppies in India. Find plans covering accidental ingestions, juvenile injuries, and emergency vet care.</v>
      </c>
      <c r="E20" s="4" t="str">
        <f>IFERROR(__xludf.DUMMYFUNCTION("AI(""Write a unique and compelling third-person H1 tag for "" &amp; A20 &amp; "" in "" &amp; B20 &amp; "", ensuring no generic or duplicate phrasing across rows, using distinct modifiers based on local search intent, and keeping it under 65 characters."")"),"Top Puppy &amp; Young Dog Health Insurance Plans in India")</f>
        <v>Top Puppy &amp; Young Dog Health Insurance Plans in India</v>
      </c>
      <c r="F20" s="4" t="str">
        <f>IFERROR(__xludf.DUMMYFUNCTION("AI(""Write a unique, third-person introductory overview for row "" &amp; A20 &amp; "" in the "" &amp; B20 &amp; "" directory, highlighting its specific local distinctiveness, notable neighborhood context, and key destination appeal without using repetitive phrasing, gene"&amp;"ric templates, or cliché marketing filler."")"),"Pet insurance for young dogs provides crucial coverage during their most active early years, protecting owners from unexpected costs related to injuries, accidental ingestions, and early health diagnoses. Securing coverage early helps establish comprehens"&amp;"ive protection before pre-existing conditions develop, supporting long-term wellness care as puppies grow.")</f>
        <v>Pet insurance for young dogs provides crucial coverage during their most active early years, protecting owners from unexpected costs related to injuries, accidental ingestions, and early health diagnoses. Securing coverage early helps establish comprehensive protection before pre-existing conditions develop, supporting long-term wellness care as puppies grow.</v>
      </c>
      <c r="G20" s="4" t="str">
        <f>IFERROR(__xludf.DUMMYFUNCTION("AI(""Write a unique HTML h2 heading followed by a comprehensive insurance plan description in the third-person tone for Column B, referencing the plan name in Column A, tailored for an Indian directory site without repeating any text or phrases."")"),"&lt;h2&gt;Young Dog and Puppy Pet Insurance Coverage&lt;/h2&gt;&lt;p&gt;Tailored for puppies and young dogs across India, this early-stage pet insurance plan covers common juvenile mishaps, accidental ingestions, rapid emergency interventions, and early diagnostic assessme"&amp;"nts. Securing coverage during a dog's youthful years helps avoid pre-existing condition exclusions and ensures continuous healthcare protection as they grow.&lt;/p&gt;")</f>
        <v>&lt;h2&gt;Young Dog and Puppy Pet Insurance Coverage&lt;/h2&gt;&lt;p&gt;Tailored for puppies and young dogs across India, this early-stage pet insurance plan covers common juvenile mishaps, accidental ingestions, rapid emergency interventions, and early diagnostic assessments. Securing coverage during a dog's youthful years helps avoid pre-existing condition exclusions and ensures continuous healthcare protection as they grow.&lt;/p&gt;</v>
      </c>
      <c r="H20" s="4" t="str">
        <f>IFERROR(__xludf.DUMMYFUNCTION("AI(""Write a unique third-person overview for Column B corresponding to the pet insurance provider named in Column A under 'pet insurance providers in india', formatted as a single continuous paragraph starting with an  heading, ensuring zero duplicate or"&amp;" repeated phrases, and including a verified active hypertext link to the official website of the provider."")"),"&lt;h2&gt;Young Dog and Puppy Insurance by New India Assurance&lt;/h2&gt;&lt;p&gt;The New India Assurance Co. Ltd. offers early-stage pet healthcare insurance for young dogs and puppies in India, helping offset costs for juvenile injuries, accidental ingestions, and early "&amp;"diagnostics. Securing coverage during a dog's younger years helps prevent pre-existing condition exclusions while supporting long-term health; find full policy details directly on the official &lt;a href=""https://www.newindia.co.in""&gt;New India Assurance web"&amp;"site&lt;/a&gt;.&lt;/p&gt;")</f>
        <v>&lt;h2&gt;Young Dog and Puppy Insurance by New India Assurance&lt;/h2&gt;&lt;p&gt;The New India Assurance Co. Ltd. offers early-stage pet healthcare insurance for young dogs and puppies in India, helping offset costs for juvenile injuries, accidental ingestions, and early diagnostics. Securing coverage during a dog's younger years helps prevent pre-existing condition exclusions while supporting long-term health; find full policy details directly on the official &lt;a href="https://www.newindia.co.in"&gt;New India Assurance website&lt;/a&gt;.&lt;/p&gt;</v>
      </c>
      <c r="I20" s="4" t="str">
        <f>IFERROR(__xludf.DUMMYFUNCTION("AI(""Generate a unique, third-person section for an Indian pet insurance programmatic SEO sheet starting with an HTML  heading, focusing on pet insurance premium amounts and renewals based on the inputs in Column A and Column B. The output must feature a "&amp;"concise, clean markdown table mapping these details without any duplicate or repetitive text, using accurate Indian insurance terminology and market context."")"),"&lt;h2&gt;Young Dog Insurance Premiums and Renewals&lt;/h2&gt;&lt;p&gt;Insurance premiums for young dogs and puppies in India are generally more affordable due to lower initial health risks. Enrolling and renewing early secures lifetime coverage benefits, prevents pre-exis"&amp;"ting condition exclusions, and builds substantial No Claim Bonus discounts over time.&lt;/p&gt;| Policy Feature | Details |
| :--- | :--- |
| Sum Insured Range | ₹15,000 - ₹5,000,000 |
| Estimated Annual Premium | ₹2,800 - ₹12,000 |
| Policy Tenure | 1 Year (Re"&amp;"newable annually) |
| Grace Period | 30 days from expiry |
| No Claim Bonus (NCB) | 5% to 20% discount on renewal |")</f>
        <v>&lt;h2&gt;Young Dog Insurance Premiums and Renewals&lt;/h2&gt;&lt;p&gt;Insurance premiums for young dogs and puppies in India are generally more affordable due to lower initial health risks. Enrolling and renewing early secures lifetime coverage benefits, prevents pre-existing condition exclusions, and builds substantial No Claim Bonus discounts over time.&lt;/p&gt;| Policy Feature | Details |
| :--- | :--- |
| Sum Insured Range | ₹15,000 - ₹5,000,000 |
| Estimated Annual Premium | ₹2,800 - ₹12,000 |
| Policy Tenure | 1 Year (Renewable annually) |
| Grace Period | 30 days from expiry |
| No Claim Bonus (NCB) | 5% to 20% discount on renewal |</v>
      </c>
      <c r="J20" s="4" t="str">
        <f>IFERROR(__xludf.DUMMYFUNCTION("AI(""Generate a unique, third-person descriptive section for an Indian pet insurance programmatic SEO directory. The content must begin with an HTML h2 heading titled 'Pet Insurance Coverage Inclusions and Exclusions in India' followed immediately by a st"&amp;"ructured markdown table. Column A must represent specific pet insurance policy components (such as accidental hospitalization, hereditary illness, pre-existing conditions, third-party liability, and OPD treatments), and Column B must detail their exact in"&amp;"clusion or exclusion status under standard Indian pet insurance plans. Every row must be entirely distinct with zero duplicate text, repetitive phrases, or redundant entries, utilizing clear and professional industry terminology."")"),"&lt;h2&gt;Pet Insurance Coverage Inclusions and Exclusions in India&lt;/h2&gt;| Policy Component | Coverage Status &amp; Terms |
| :----------------------------------------- | :--------------------------------------------------------------- |
| Juvenile Accidental Injury"&amp;" &amp; Ingestion | Covered up to full base sum insured limits |
| Early Illness &amp; Diagnostic Testing | Covered post initial waiting period completion |
| Congenital Abnormalities Detected Early | Excluded unless specific congenital coverage is chosen |
| Thir"&amp;"d-Party Public Liability Cover | Included for puppy-related property damage or bites |
| Routine Puppy Vaccinations &amp; Microchipping | Excluded under standard base policies |
| Outpatient Care &amp; Minor Trauma OPD | Optional add-on coverage with annual limit"&amp;"s |
| Emergency Surgical Interventions | Fully covered for acute juvenile health emergencies |")</f>
        <v>&lt;h2&gt;Pet Insurance Coverage Inclusions and Exclusions in India&lt;/h2&gt;| Policy Component | Coverage Status &amp; Terms |
| :----------------------------------------- | :--------------------------------------------------------------- |
| Juvenile Accidental Injury &amp; Ingestion | Covered up to full base sum insured limits |
| Early Illness &amp; Diagnostic Testing | Covered post initial waiting period completion |
| Congenital Abnormalities Detected Early | Excluded unless specific congenital coverage is chosen |
| Third-Party Public Liability Cover | Included for puppy-related property damage or bites |
| Routine Puppy Vaccinations &amp; Microchipping | Excluded under standard base policies |
| Outpatient Care &amp; Minor Trauma OPD | Optional add-on coverage with annual limits |
| Emergency Surgical Interventions | Fully covered for acute juvenile health emergencies |</v>
      </c>
      <c r="K20" s="4" t="str">
        <f>IFERROR(__xludf.DUMMYFUNCTION("AI(""Generate unique, non-repetitive content written strictly in the third-person tone, starting directly with an HTML  heading and organized using distinct bulleted lists, detailing the pet insurance mandatory prerequisites in India based on the prerequi"&amp;"site category provided in Column A ("" &amp; A20 &amp; "") and its corresponding compliance specification in Column B ("" &amp; B20 &amp; ""), ensuring all descriptions remain entirely distinct without overlapping terminology."")"),"&lt;h2&gt;Mandatory Prerequisites for Young Dog Insurance in India&lt;/h2&gt;&lt;ul&gt;&lt;li&gt;Official microchip insertion or registration tag verification for precise juvenile identification&lt;/li&gt;&lt;li&gt;Up-to-date core puppy vaccination records certified by a registered veterina"&amp;"ry practitioner&lt;/li&gt;&lt;li&gt;Age qualification compliance confirming enrollment within specified early-life boundaries&lt;/li&gt;&lt;li&gt;Baseline health examination report verifying the absence of pre-existing congenital conditions&lt;/li&gt;&lt;/ul&gt;")</f>
        <v>&lt;h2&gt;Mandatory Prerequisites for Young Dog Insurance in India&lt;/h2&gt;&lt;ul&gt;&lt;li&gt;Official microchip insertion or registration tag verification for precise juvenile identification&lt;/li&gt;&lt;li&gt;Up-to-date core puppy vaccination records certified by a registered veterinary practitioner&lt;/li&gt;&lt;li&gt;Age qualification compliance confirming enrollment within specified early-life boundaries&lt;/li&gt;&lt;li&gt;Baseline health examination report verifying the absence of pre-existing congenital conditions&lt;/li&gt;&lt;/ul&gt;</v>
      </c>
      <c r="L20" s="4" t="str">
        <f>IFERROR(__xludf.DUMMYFUNCTION("AI(""Write 3 unique frequently asked questions and answers about pet insurance in India, formatted as a single paragraph starting with an HTML h2 heading. Use a third-person, objective tone throughout, ensuring there is no duplicated text, filler, or repe"&amp;"ated phrases between the Q&amp;A items, referencing data from column A and column B where applicable."")"),"&lt;h2&gt;Frequently Asked Questions About Young Dog Insurance in India&lt;/h2&gt; What specific protection does young dog and puppy insurance provide in India? Young dog coverage includes treatment for juvenile accidental injuries, foreign body ingestions, early dia"&amp;"gnostic assessments, emergency surgeries, and public liability. Why are insurance premiums generally lower for puppies and young dogs? Premiums are more affordable because younger dogs present lower initial health risks, and early enrollment helps lock in"&amp;" lifetime coverage without pre-existing condition exclusions. What prerequisites must puppy owners present during policy sign-up? Insurers require microchip or registration tag verification, certified core puppy vaccination records, age eligibility verifi"&amp;"cation, and a baseline health check report.")</f>
        <v>&lt;h2&gt;Frequently Asked Questions About Young Dog Insurance in India&lt;/h2&gt; What specific protection does young dog and puppy insurance provide in India? Young dog coverage includes treatment for juvenile accidental injuries, foreign body ingestions, early diagnostic assessments, emergency surgeries, and public liability. Why are insurance premiums generally lower for puppies and young dogs? Premiums are more affordable because younger dogs present lower initial health risks, and early enrollment helps lock in lifetime coverage without pre-existing condition exclusions. What prerequisites must puppy owners present during policy sign-up? Insurers require microchip or registration tag verification, certified core puppy vaccination records, age eligibility verification, and a baseline health check report.</v>
      </c>
    </row>
  </sheetData>
  <drawing r:id="rId1"/>
</worksheet>
</file>